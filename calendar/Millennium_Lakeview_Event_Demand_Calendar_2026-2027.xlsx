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 Calendar" sheetId="1" state="visible" r:id="rId3"/>
    <sheet name="Monthly Summary" sheetId="2" state="visible" r:id="rId4"/>
    <sheet name="Methodology" sheetId="3" state="visible" r:id="rId5"/>
    <sheet name="Source Log" sheetId="4" state="visible" r:id="rId6"/>
    <sheet name="Key Demand Drivers for DIP" sheetId="5" state="visible" r:id="rId7"/>
    <sheet name="Hotel Impact Events" sheetId="6" state="visible" r:id="rId8"/>
    <sheet name="High-Impact Hotel Demand Calend" sheetId="7" state="visible" r:id="rId9"/>
    <sheet name="Highest ADR" sheetId="8" state="visible" r:id="rId10"/>
    <sheet name="Events Calendar (Print)" sheetId="9" state="visible" r:id="rId11"/>
  </sheets>
  <definedNames>
    <definedName function="false" hidden="false" localSheetId="0" name="_xlnm.Print_Titles" vbProcedure="false">'Event Calendar'!$1:$1</definedName>
    <definedName function="false" hidden="true" localSheetId="0" name="_xlnm._FilterDatabase" vbProcedure="false">'Event Calendar'!$A$1:$AA$29</definedName>
    <definedName function="false" hidden="false" localSheetId="8" name="_xlnm.Print_Titles" vbProcedure="false">'Events Calendar (Print)'!$8:$8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<sst xmlns="http://schemas.openxmlformats.org/spreadsheetml/2006/main" count="1370" uniqueCount="619">
  <si>
    <t xml:space="preserve">Event</t>
  </si>
  <si>
    <t xml:space="preserve">Start</t>
  </si>
  <si>
    <t xml:space="preserve">End</t>
  </si>
  <si>
    <t xml:space="preserve">Venue</t>
  </si>
  <si>
    <t xml:space="preserve">Area</t>
  </si>
  <si>
    <t xml:space="preserve">Sector</t>
  </si>
  <si>
    <t xml:space="preserve">Total Attendance</t>
  </si>
  <si>
    <t xml:space="preserve">Exhibitors</t>
  </si>
  <si>
    <t xml:space="preserve">Primary Source Markets (Top Countries)</t>
  </si>
  <si>
    <t xml:space="preserve">Data Status</t>
  </si>
  <si>
    <t xml:space="preserve">Out-of-town % Low</t>
  </si>
  <si>
    <t xml:space="preserve">Out-of-town % High</t>
  </si>
  <si>
    <t xml:space="preserve">Avg Stay Low (nts)</t>
  </si>
  <si>
    <t xml:space="preserve">Avg Stay High (nts)</t>
  </si>
  <si>
    <t xml:space="preserve">Persons/Room</t>
  </si>
  <si>
    <t xml:space="preserve">Market Room Nights Low</t>
  </si>
  <si>
    <t xml:space="preserve">Market Room Nights High</t>
  </si>
  <si>
    <t xml:space="preserve">Lakeview Capture Low</t>
  </si>
  <si>
    <t xml:space="preserve">Lakeview Capture High</t>
  </si>
  <si>
    <t xml:space="preserve">Lakeview Room Nights Low</t>
  </si>
  <si>
    <t xml:space="preserve">Lakeview Room Nights High</t>
  </si>
  <si>
    <t xml:space="preserve">Hotel Impact</t>
  </si>
  <si>
    <t xml:space="preserve">DIP Area ADR Low (AED)</t>
  </si>
  <si>
    <t xml:space="preserve">DIP Area ADR High (AED)</t>
  </si>
  <si>
    <t xml:space="preserve">Planning Status</t>
  </si>
  <si>
    <t xml:space="preserve">Source / Verification Note</t>
  </si>
  <si>
    <t xml:space="preserve">Month Key</t>
  </si>
  <si>
    <t xml:space="preserve">Middle East Energy</t>
  </si>
  <si>
    <t xml:space="preserve">Dubai World Trade Centre</t>
  </si>
  <si>
    <t xml:space="preserve">DWTC</t>
  </si>
  <si>
    <t xml:space="preserve">Energy</t>
  </si>
  <si>
    <t xml:space="preserve">131+ countries confirmed (2026); top international markets Nigeria, Egypt, Saudi Arabia</t>
  </si>
  <si>
    <t xml:space="preserve">Planning estimate (2026 organizer projection)</t>
  </si>
  <si>
    <t xml:space="preserve">HIGH</t>
  </si>
  <si>
    <t xml:space="preserve">Confirmed</t>
  </si>
  <si>
    <t xml:space="preserve">NEW — added to calendar; date moved from 7–9 Apr to 1–3 Sep 2026 (organizer notice).</t>
  </si>
  <si>
    <t xml:space="preserve">Dubai Derma</t>
  </si>
  <si>
    <t xml:space="preserve">Healthcare</t>
  </si>
  <si>
    <t xml:space="preserve">114 countries; strong MENA / Asia / Europe medical-professional draw</t>
  </si>
  <si>
    <t xml:space="preserve">Planning estimate</t>
  </si>
  <si>
    <t xml:space="preserve">NEW — added to calendar; confirmed 8–10 Sep 2026.</t>
  </si>
  <si>
    <t xml:space="preserve">Arabian Travel Market</t>
  </si>
  <si>
    <t xml:space="preserve">Travel &amp; Tourism</t>
  </si>
  <si>
    <t xml:space="preserve">166 countries (2025 actual); top international markets India, Egypt, UK, Türkiye, USA</t>
  </si>
  <si>
    <t xml:space="preserve">Planning estimate; 2025 actual 55,000 visitors/166 countries; 2026 organizer projection 47,000+/160+ countries</t>
  </si>
  <si>
    <t xml:space="preserve">NEW — previously missing from model despite being a top citywide driver; date finalised 14–17 Sep 2026 after two reschedules (orig. May, then Aug).</t>
  </si>
  <si>
    <t xml:space="preserve">GISEC Global</t>
  </si>
  <si>
    <t xml:space="preserve">Dubai Exhibition Centre</t>
  </si>
  <si>
    <t xml:space="preserve">Expo City / DEC</t>
  </si>
  <si>
    <t xml:space="preserve">Cybersecurity</t>
  </si>
  <si>
    <t xml:space="preserve">182+ countries (2026 projection)</t>
  </si>
  <si>
    <t xml:space="preserve">MEDIUM</t>
  </si>
  <si>
    <t xml:space="preserve">Seamless Middle East (2026)</t>
  </si>
  <si>
    <t xml:space="preserve">Fintech / Payments</t>
  </si>
  <si>
    <t xml:space="preserve">Not published for this edition</t>
  </si>
  <si>
    <t xml:space="preserve">⚠ Dates unconfirmed — sources conflict (12–14 May vs 22–24 Sep 2026, rebrand 'Seamless Digital Commerce ME'); verify with organiser (Terrapinn) before blocking rooms.</t>
  </si>
  <si>
    <t xml:space="preserve">TBC / Benchmark</t>
  </si>
  <si>
    <t xml:space="preserve">NEW — added to calendar; confirm final date before committing inventory.</t>
  </si>
  <si>
    <t xml:space="preserve">Middle East Coatings Show</t>
  </si>
  <si>
    <t xml:space="preserve">Industrial</t>
  </si>
  <si>
    <t xml:space="preserve">24+ countries</t>
  </si>
  <si>
    <t xml:space="preserve">CABSAT + SAT Expo</t>
  </si>
  <si>
    <t xml:space="preserve">Broadcasting / Tech</t>
  </si>
  <si>
    <t xml:space="preserve">Not published</t>
  </si>
  <si>
    <t xml:space="preserve">Beautyworld Dubai</t>
  </si>
  <si>
    <t xml:space="preserve">Beauty</t>
  </si>
  <si>
    <t xml:space="preserve">178 countries (2025 actual); top international markets UK, USA, France, India, Italy, Spain</t>
  </si>
  <si>
    <t xml:space="preserve">2025 actual benchmark (85,291 visitors / 178 countries)</t>
  </si>
  <si>
    <t xml:space="preserve">CORRECTED — attendance updated from 71,439 (2024 benchmark) to 85,291 (2025 actual).</t>
  </si>
  <si>
    <t xml:space="preserve">Airport Show + Global Airport Leaders Forum</t>
  </si>
  <si>
    <t xml:space="preserve">Aviation</t>
  </si>
  <si>
    <t xml:space="preserve">WETEX</t>
  </si>
  <si>
    <t xml:space="preserve">Energy / Sustainability</t>
  </si>
  <si>
    <t xml:space="preserve">65 countries; 18 country pavilions; DEWA-led international energy/utility delegations</t>
  </si>
  <si>
    <t xml:space="preserve">2025 actual benchmark (50,000+ visitors / 65 countries)</t>
  </si>
  <si>
    <t xml:space="preserve">CORRECTED — attendance updated from 35,000 to 50,000 (2025 actual).</t>
  </si>
  <si>
    <t xml:space="preserve">Baby &amp; Kids Expo</t>
  </si>
  <si>
    <t xml:space="preserve">Consumer</t>
  </si>
  <si>
    <t xml:space="preserve">Predominantly GCC / regional consumer visitors</t>
  </si>
  <si>
    <t xml:space="preserve">Jewellery, Gem &amp; Technology in Dubai</t>
  </si>
  <si>
    <t xml:space="preserve">Jewellery</t>
  </si>
  <si>
    <t xml:space="preserve">Dubai Muscle Show / Active Show</t>
  </si>
  <si>
    <t xml:space="preserve">Fitness</t>
  </si>
  <si>
    <t xml:space="preserve">Predominantly GCC / regional fitness community; growing international athlete draw</t>
  </si>
  <si>
    <t xml:space="preserve">Published</t>
  </si>
  <si>
    <t xml:space="preserve">Gulfood Manufacturing</t>
  </si>
  <si>
    <t xml:space="preserve">F&amp;B Manufacturing</t>
  </si>
  <si>
    <t xml:space="preserve">Global F&amp;B processing / manufacturing buyers — GCC, Africa, South Asia, Europe (detailed breakdown not published)</t>
  </si>
  <si>
    <t xml:space="preserve">Published benchmark</t>
  </si>
  <si>
    <t xml:space="preserve">Automechanika Dubai</t>
  </si>
  <si>
    <t xml:space="preserve">Automotive</t>
  </si>
  <si>
    <t xml:space="preserve">162 countries (2025 actual); top markets Saudi Arabia, Iran, India, China, Iraq</t>
  </si>
  <si>
    <t xml:space="preserve">2025 actual benchmark</t>
  </si>
  <si>
    <t xml:space="preserve">Refined to 50,408 (2025 actual, was 50,308 planning estimate).</t>
  </si>
  <si>
    <t xml:space="preserve">Big 5 Global</t>
  </si>
  <si>
    <t xml:space="preserve">Construction</t>
  </si>
  <si>
    <t xml:space="preserve">150+ countries (2024 actual); top markets UAE, Saudi Arabia, Turkey, Italy, China, India, Germany, USA</t>
  </si>
  <si>
    <t xml:space="preserve">2024 actual benchmark (85,000 visitors / 150+ countries)</t>
  </si>
  <si>
    <t xml:space="preserve">CORRECTED — attendance updated from 65,000 to 85,000 (2024 actual).</t>
  </si>
  <si>
    <t xml:space="preserve">GITEX Global</t>
  </si>
  <si>
    <t xml:space="preserve">Technology</t>
  </si>
  <si>
    <t xml:space="preserve">180+ countries (2025); major delegations incl. India, Pakistan, Saudi Arabia, Egypt, UK, USA, China; 2025 Country Partner: Brazil</t>
  </si>
  <si>
    <t xml:space="preserve">2025 actual benchmark (200,000+ visitors)</t>
  </si>
  <si>
    <t xml:space="preserve">VERY HIGH</t>
  </si>
  <si>
    <t xml:space="preserve">CORRECTED — attendance updated from 100,000 (planning estimate) to 200,000 (2024/2025 actual); major upward revision.</t>
  </si>
  <si>
    <t xml:space="preserve">Intersec Global</t>
  </si>
  <si>
    <t xml:space="preserve">Security</t>
  </si>
  <si>
    <t xml:space="preserve">151 countries (2026 actual); 60% domestic / 40% international; key markets USA, China, India, South Korea, France, Germany, Italy, Türkiye, UK</t>
  </si>
  <si>
    <t xml:space="preserve">2026 actual benchmark</t>
  </si>
  <si>
    <t xml:space="preserve">Refined to 44,764 (2026 actual, was 44,857 estimate).</t>
  </si>
  <si>
    <t xml:space="preserve">WHX Dubai</t>
  </si>
  <si>
    <t xml:space="preserve">180+ countries (2026 actual); country pavilions incl. China, Germany, US, UK, Korea + first-time Slovakia/Thailand/Croatia</t>
  </si>
  <si>
    <t xml:space="preserve">2026 actual benchmark (235,000+ professional visits, 4,300 exhibitors)</t>
  </si>
  <si>
    <t xml:space="preserve">CORRECTED — attendance updated from 90,000 (planning estimate) to 235,000 (Feb 2026 actual, incl. co-located WHX Labs/Medlab); major upward revision.</t>
  </si>
  <si>
    <t xml:space="preserve">WHX Labs Dubai</t>
  </si>
  <si>
    <t xml:space="preserve">Healthcare / Labs</t>
  </si>
  <si>
    <t xml:space="preserve">Co-located with WHX Dubai; similar international healthcare-professional profile</t>
  </si>
  <si>
    <t xml:space="preserve">Gulfood</t>
  </si>
  <si>
    <t xml:space="preserve">DWTC + Dubai Exhibition Centre</t>
  </si>
  <si>
    <t xml:space="preserve">Expo City + DWTC</t>
  </si>
  <si>
    <t xml:space="preserve">F&amp;B</t>
  </si>
  <si>
    <t xml:space="preserve">195 countries (2026 actual benchmark)</t>
  </si>
  <si>
    <t xml:space="preserve">2026 actual benchmark (300,000 visitors, 8,500+ exhibitors across DWTC + new Dubai Exhibition Centre / Expo City venue)</t>
  </si>
  <si>
    <t xml:space="preserve">CORRECTED — attendance filled in from blank to 300,000 (Jan 2026 actual, dual-venue record edition); Hotel Impact upgraded MEDIUM → VERY HIGH.</t>
  </si>
  <si>
    <t xml:space="preserve">Seamless Middle East</t>
  </si>
  <si>
    <t xml:space="preserve">DWTC (TBC)</t>
  </si>
  <si>
    <t xml:space="preserve">Fintech / Retail Tech</t>
  </si>
  <si>
    <t xml:space="preserve">Dates TBC; depends on 2026 edition outcome (see Sep 2026 entry)</t>
  </si>
  <si>
    <t xml:space="preserve">Beautyworld Middle East</t>
  </si>
  <si>
    <t xml:space="preserve">178 countries (2025 benchmark); top markets UK, USA, France, India, Italy, Spain</t>
  </si>
  <si>
    <t xml:space="preserve">Dates TBC; 2025 actual benchmark</t>
  </si>
  <si>
    <t xml:space="preserve">CORRECTED — attendance updated from 71,439 to 85,291 (2025 actual).</t>
  </si>
  <si>
    <t xml:space="preserve">65 countries (2025 benchmark)</t>
  </si>
  <si>
    <t xml:space="preserve">Dates/attendance TBC; 2025 actual benchmark</t>
  </si>
  <si>
    <t xml:space="preserve">CORRECTED — attendance updated from 35,000 to 50,000.</t>
  </si>
  <si>
    <t xml:space="preserve">150+ countries (2024 benchmark)</t>
  </si>
  <si>
    <t xml:space="preserve">Dates TBC; 2024 actual benchmark</t>
  </si>
  <si>
    <t xml:space="preserve">CORRECTED — attendance updated from 65,000 to 85,000.</t>
  </si>
  <si>
    <t xml:space="preserve">Dubai Airshow</t>
  </si>
  <si>
    <t xml:space="preserve">Dubai World Central</t>
  </si>
  <si>
    <t xml:space="preserve">DWC / Dubai South</t>
  </si>
  <si>
    <t xml:space="preserve">Aerospace</t>
  </si>
  <si>
    <t xml:space="preserve">115 countries (2025 actual); 490 military/civil delegations</t>
  </si>
  <si>
    <t xml:space="preserve">2025 actual benchmark (248,788 total visitors incl. public Skyview days, 1,500+ exhibitors)</t>
  </si>
  <si>
    <t xml:space="preserve">CORRECTED — attendance updated from 148,000 to 248,788 (2025 actual); major upward revision — closest major DWC demand driver to Lakeview.</t>
  </si>
  <si>
    <t xml:space="preserve">Dubai Exhibition Centre (TBC)</t>
  </si>
  <si>
    <t xml:space="preserve">162 countries (2025 benchmark); top markets Saudi Arabia, Iran, India, China, Iraq</t>
  </si>
  <si>
    <t xml:space="preserve">180+ countries (2025 benchmark)</t>
  </si>
  <si>
    <t xml:space="preserve">CORRECTED — attendance updated from 100,000 to 200,000.</t>
  </si>
  <si>
    <t xml:space="preserve">Month</t>
  </si>
  <si>
    <t xml:space="preserve">Events</t>
  </si>
  <si>
    <t xml:space="preserve">Key Drivers</t>
  </si>
  <si>
    <t xml:space="preserve">RM Action</t>
  </si>
  <si>
    <t xml:space="preserve">2026-09</t>
  </si>
  <si>
    <t xml:space="preserve">Arabian Travel Market, Middle East Energy, Dubai Derma, GISEC Global</t>
  </si>
  <si>
    <t xml:space="preserve">Six confirmed international trade shows in one month (incl. 3 newly added — ATM, Middle East Energy, Dubai Derma). Protect event-night rates; target exhibitors/delegations for DEC and DWTC events.</t>
  </si>
  <si>
    <t xml:space="preserve">2026-10</t>
  </si>
  <si>
    <t xml:space="preserve">Beautyworld Dubai, Dubai Muscle Show / Active Show</t>
  </si>
  <si>
    <t xml:space="preserve">Protect ADR and build 2–4 night event packages; monitor overlapping shows.</t>
  </si>
  <si>
    <t xml:space="preserve">2026-11</t>
  </si>
  <si>
    <t xml:space="preserve">Gulfood Manufacturing, Automechanika Dubai, Big 5 Global</t>
  </si>
  <si>
    <t xml:space="preserve">Peak compression month; restrict discounts around Automechanika/Big 5.</t>
  </si>
  <si>
    <t xml:space="preserve">2026-12</t>
  </si>
  <si>
    <t xml:space="preserve">GITEX Global (attendance corrected to 200,000 actual benchmark)</t>
  </si>
  <si>
    <t xml:space="preserve">Protect GITEX dates; target international tech exhibitors and delegations — demand materially higher than previously modelled.</t>
  </si>
  <si>
    <t xml:space="preserve">2027-01</t>
  </si>
  <si>
    <t xml:space="preserve">WHX Dubai (attendance corrected to 235,000 actual benchmark), Intersec Global</t>
  </si>
  <si>
    <t xml:space="preserve">Target healthcare/security exhibitors; maximise ADR around WHX/Intersec — WHX is now the #3 demand driver in the calendar.</t>
  </si>
  <si>
    <t xml:space="preserve">2027-03</t>
  </si>
  <si>
    <t xml:space="preserve">Gulfood (attendance filled in — 300,000 actual 2026 benchmark; now the single largest demand driver in this calendar)</t>
  </si>
  <si>
    <t xml:space="preserve">Gulfood is now the single largest compression period in this calendar (dual-venue, 300k actual 2026 benchmark); start sales 90–120 days out and protect BAR aggressively.</t>
  </si>
  <si>
    <t xml:space="preserve">2027-05</t>
  </si>
  <si>
    <t xml:space="preserve">Monitor Seamless date release and open targeted tech/corporate offers.</t>
  </si>
  <si>
    <t xml:space="preserve">2027-10</t>
  </si>
  <si>
    <t xml:space="preserve">Monitor Beautyworld/WETEX confirmation; build shoulder-night packages.</t>
  </si>
  <si>
    <t xml:space="preserve">2027-11</t>
  </si>
  <si>
    <t xml:space="preserve">Big 5 Global, Dubai Airshow (attendance corrected to 248,788 actual benchmark), Automechanika Dubai</t>
  </si>
  <si>
    <t xml:space="preserve">Critical month: Dubai Airshow demand corrected sharply upward (now ~2nd-largest driver after Gulfood) — maximise ADR and restrict discounting city-wide.</t>
  </si>
  <si>
    <t xml:space="preserve">2027-12</t>
  </si>
  <si>
    <t xml:space="preserve">Monitor GITEX confirmation; protect year-end tech demand.</t>
  </si>
  <si>
    <t xml:space="preserve">Purpose</t>
  </si>
  <si>
    <t xml:space="preserve">DIP / Green Community hotel-impact calendar for Millennium Lakeview, Sep 2026–Dec 2027.</t>
  </si>
  <si>
    <t xml:space="preserve">Priority geography</t>
  </si>
  <si>
    <t xml:space="preserve">Primary: Dubai Exhibition Centre / Expo City and Dubai World Central (DWC/Dubai South). Secondary: DWTC, where mega-events can create citywide compression.</t>
  </si>
  <si>
    <t xml:space="preserve">Total attendance</t>
  </si>
  <si>
    <t xml:space="preserve">Published attendance where available; otherwise a planning estimate or prior-edition benchmark. Attendance is not hotel demand.</t>
  </si>
  <si>
    <t xml:space="preserve">Market room nights</t>
  </si>
  <si>
    <t xml:space="preserve">Total attendance × out-of-town share × average stay nights ÷ persons per room.</t>
  </si>
  <si>
    <t xml:space="preserve">Out-of-town assumptions</t>
  </si>
  <si>
    <t xml:space="preserve">Generally 20–40%; higher for international mega-events. Dubai Airshow 35–45%; Gulfood 35–50%.</t>
  </si>
  <si>
    <t xml:space="preserve">Persons per room</t>
  </si>
  <si>
    <t xml:space="preserve">1.4 used as a planning assumption for mixed business-event demand.</t>
  </si>
  <si>
    <t xml:space="preserve">Lakeview capture</t>
  </si>
  <si>
    <t xml:space="preserve">Illustrative property capture assumption of 0.1–1.0%, adjusted upward for DWC/DEC proximity and event scale.</t>
  </si>
  <si>
    <t xml:space="preserve">Important</t>
  </si>
  <si>
    <t xml:space="preserve">Lakeview room-night figures are planning ranges, not organizer forecasts. Replace with actual pickup/pace once booking data is available.</t>
  </si>
  <si>
    <t xml:space="preserve">RM use</t>
  </si>
  <si>
    <t xml:space="preserve">Use event dates as compression flags; compare OTB/pickup, protect BAR/ADR on peak nights, and prospect exhibitors/delegations 60–120 days ahead.</t>
  </si>
  <si>
    <t xml:space="preserve">2027 caution</t>
  </si>
  <si>
    <t xml:space="preserve">Several 2027 dates are not yet published. Those rows are marked TBC / Benchmark and should be updated as organizers release dates.</t>
  </si>
  <si>
    <t xml:space="preserve">DIP/Green Community Base ADR (AED)</t>
  </si>
  <si>
    <t xml:space="preserve">ADR uplift model</t>
  </si>
  <si>
    <t xml:space="preserve">DIP Area ADR Low/High = Base ADR × uplift factor by Hotel Impact tier — MEDIUM ×1.08/×1.15, HIGH ×1.18/×1.30, VERY HIGH ×1.30/×1.45. Base ADR of AED 380 is an illustrative planning assumption for the DIP/Green Community 3–4★ competitive set — replace with Millennium Lakeview's actual STR/competitive-set ADR data once available.</t>
  </si>
  <si>
    <t xml:space="preserve">Primary Source Markets / countries</t>
  </si>
  <si>
    <t xml:space="preserve">Country counts and top feeder markets are drawn from organiser post-show reports and press releases where published (see Source Log). Where no breakdown is published, the cell is marked 'Not published' rather than estimated, to avoid fabricating attendee data.</t>
  </si>
  <si>
    <t xml:space="preserve">Citywide vs Lakeview figures</t>
  </si>
  <si>
    <t xml:space="preserve">'Market Room Nights' = total out-of-town, citywide hotel-night demand generated by an event (all competing hotels, not just Lakeview). 'Lakeview Room Nights' = Market Room Nights × an illustrative capture-rate assumption for this single property. Earlier drafts of this workbook (Hotel Impact Events / High-Impact Hotel Demand Calendar / Highest ADR tabs) had mislabelled citywide market demand as 'Impact on MLVH' — this has been corrected (see those tabs).</t>
  </si>
  <si>
    <t xml:space="preserve">2026 corrections applied</t>
  </si>
  <si>
    <t xml:space="preserve">GITEX Global, Big 5 Global, Beautyworld Dubai/ME, WETEX, Dubai Airshow, Gulfood and WHX Dubai attendance figures were updated to the latest published actual/benchmark editions (several 2026 editions had already concluded as of this review — Gulfood Jan 2026, WHX Dubai Feb 2026, Dubai Airshow Nov 2025). Arabian Travel Market, Middle East Energy, Dubai Derma and Seamless Middle East (Sep 2026) were added — they were present in the 'Key Demand Drivers for DIP' research tab but had been omitted from the quantitative Event Calendar model.</t>
  </si>
  <si>
    <t xml:space="preserve">Source</t>
  </si>
  <si>
    <t xml:space="preserve">URL</t>
  </si>
  <si>
    <t xml:space="preserve">https://www.dubaiexhibitioncentre.com/en/whats-on</t>
  </si>
  <si>
    <t xml:space="preserve">DEC event calendar</t>
  </si>
  <si>
    <t xml:space="preserve">https://www.dwtc.com/en/events/</t>
  </si>
  <si>
    <t xml:space="preserve">DWTC event calendar</t>
  </si>
  <si>
    <t xml:space="preserve">DWTC Q4 2026</t>
  </si>
  <si>
    <t xml:space="preserve">https://www.dwtc.com/en/press/dwtc-announces-diverse-events-calendar-across-two-venues-through-year-end-2026/</t>
  </si>
  <si>
    <t xml:space="preserve">2026 dates across DWTC and DEC</t>
  </si>
  <si>
    <t xml:space="preserve">https://automechanika-dubai.ae/dubai/en/press/press-releases/all/14052026.html</t>
  </si>
  <si>
    <t xml:space="preserve">2026 date and prior attendance/exhibitor benchmark</t>
  </si>
  <si>
    <t xml:space="preserve">Dubai Muscle Show</t>
  </si>
  <si>
    <t xml:space="preserve">https://dubaimuscleshow.com/</t>
  </si>
  <si>
    <t xml:space="preserve">2026 date and attendance</t>
  </si>
  <si>
    <t xml:space="preserve">https://www.big5global.com/event/event-at-a-glance/</t>
  </si>
  <si>
    <t xml:space="preserve">2026 date and attendance/exhibitor information</t>
  </si>
  <si>
    <t xml:space="preserve">https://www.dubaiexhibitioncentre.com/en/whats-on/whx-dubai-2027</t>
  </si>
  <si>
    <t xml:space="preserve">2027 date and expected attendance/exhibitors</t>
  </si>
  <si>
    <t xml:space="preserve">Gulfood 2027</t>
  </si>
  <si>
    <t xml:space="preserve">https://www.gulfood.com/exhibit-gulfood</t>
  </si>
  <si>
    <t xml:space="preserve">2027 date</t>
  </si>
  <si>
    <t xml:space="preserve">https://intersecglobal.ae.messefrankfurt.com/dubai/en/about.html</t>
  </si>
  <si>
    <t xml:space="preserve">2027 date and benchmark attendance/exhibitors</t>
  </si>
  <si>
    <t xml:space="preserve">https://www.dubaiairshow.aero/</t>
  </si>
  <si>
    <t xml:space="preserve">2027 date and attendance/exhibitor benchmark</t>
  </si>
  <si>
    <t xml:space="preserve">GITEX</t>
  </si>
  <si>
    <t xml:space="preserve">https://www.gitex.com/</t>
  </si>
  <si>
    <t xml:space="preserve">2026 date and venue</t>
  </si>
  <si>
    <t xml:space="preserve">GITEX Global 2025 actual</t>
  </si>
  <si>
    <t xml:space="preserve">https://www.prnewswire.com/news-releases/gitex-global-concludes-reinforcing-its-status-as-the-worlds-largest-and-most-dominant-technology-event-302281001.html</t>
  </si>
  <si>
    <t xml:space="preserve">200,000+ visitors, 180+ countries — benchmark for 2026/2027 GITEX rows</t>
  </si>
  <si>
    <t xml:space="preserve">Big 5 Global 2024 actual</t>
  </si>
  <si>
    <t xml:space="preserve">https://www.globalmediainsight.com/blog/dubai-tourism-statistics/</t>
  </si>
  <si>
    <t xml:space="preserve">85,000 visitors from 150+ countries — corrected attendance benchmark</t>
  </si>
  <si>
    <t xml:space="preserve">Automechanika Dubai 2025 actual</t>
  </si>
  <si>
    <t xml:space="preserve">https://automechanika.messefrankfurt.com/global/en/press/press-releases/2025/automechanika-dubai-record-global-participation.html</t>
  </si>
  <si>
    <t xml:space="preserve">50,408 visitors from 162 countries; top visiting countries</t>
  </si>
  <si>
    <t xml:space="preserve">Gulfood 2026 actual (dual-venue)</t>
  </si>
  <si>
    <t xml:space="preserve">https://www.gulfood.com/insights/dubai-becomes-global-headquarters-food-trade-gulfood-2026-delivers-100-more-scale-suppliers-business-innovation</t>
  </si>
  <si>
    <t xml:space="preserve">300,000 visitors, 8,500+ exhibitors, 195 countries across DWTC + Dubai Exhibition Centre — benchmark for Mar 2027 row</t>
  </si>
  <si>
    <t xml:space="preserve">Arabian Travel Market 2025 actual</t>
  </si>
  <si>
    <t xml:space="preserve">https://gulfnews.com/travel/arabian-travel-market-2025-sees-record-55000-visitors-up-16-1.500112721</t>
  </si>
  <si>
    <t xml:space="preserve">55,000+ visitors from 166 countries; top 5 international markets India, Egypt, UK, Türkiye, USA</t>
  </si>
  <si>
    <t xml:space="preserve">Arabian Travel Market 2026 dates</t>
  </si>
  <si>
    <t xml:space="preserve">https://www.emirates247.com/business/arabian-travel-market-2026-opens-in-dubai-on-september-14-at-dwtc/4516</t>
  </si>
  <si>
    <t xml:space="preserve">Confirms 14–17 Sep 2026 dates at DWTC after two reschedules</t>
  </si>
  <si>
    <t xml:space="preserve">Dubai Airshow 2025 actual</t>
  </si>
  <si>
    <t xml:space="preserve">https://mediaoffice.ae/en/news/2025/november/24-11/dubai-airshow-2025-attracts-over-248000-visitors</t>
  </si>
  <si>
    <t xml:space="preserve">248,788 total visitors, 115 countries, 490 delegations — benchmark for Nov 2027 row</t>
  </si>
  <si>
    <t xml:space="preserve">GISEC Global 2026 projection</t>
  </si>
  <si>
    <t xml:space="preserve">https://gisec.ae/</t>
  </si>
  <si>
    <t xml:space="preserve">25,000+ professionals from 182+ countries projected for 16–18 Sep 2026</t>
  </si>
  <si>
    <t xml:space="preserve">Beautyworld Middle East 2025 actual</t>
  </si>
  <si>
    <t xml:space="preserve">https://wwd.com/beauty-industry-news/beauty-features/beautyworld-middle-east-2025-1238340935/</t>
  </si>
  <si>
    <t xml:space="preserve">85,291 visitors from 178 countries; key markets UK, USA, France, India, Italy, Spain</t>
  </si>
  <si>
    <t xml:space="preserve">WHX Dubai 2026 actual</t>
  </si>
  <si>
    <t xml:space="preserve">https://economymiddleeast.com/news/dubai-whx-worlds-largest-healthcare-event-record-international-exhibitors-visitors/</t>
  </si>
  <si>
    <t xml:space="preserve">235,000+ professional visits, 4,300 exhibitors, 180+ countries (Feb 2026 edition) — benchmark for Jan 2027 row</t>
  </si>
  <si>
    <t xml:space="preserve">Intersec 2026 actual</t>
  </si>
  <si>
    <t xml:space="preserve">https://www.zawya.com/en/press-release/events-and-conferences/intersec-2026-sets-new-global-benchmark-for-security-safety-and-fire-protection-in-dubai-cxmv6m3c</t>
  </si>
  <si>
    <t xml:space="preserve">44,764 visitors from 151 countries; 60/40 domestic/international split</t>
  </si>
  <si>
    <t xml:space="preserve">Middle East Energy 2026 date change</t>
  </si>
  <si>
    <t xml:space="preserve">https://gulfnews.com/amp/story/business%2Fenergy%2Fmiddle-east-energy-2026-to-take-place-in-september-in-dubai-1.500463125</t>
  </si>
  <si>
    <t xml:space="preserve">Confirms move from 7–9 Apr to 1–3 Sep 2026</t>
  </si>
  <si>
    <t xml:space="preserve">WETEX 2025 actual</t>
  </si>
  <si>
    <t xml:space="preserve">https://www.wetex.ae/en/content-hub/news/2025/dubai-to-host-27th-wetex-one-of-the-world-s-largest-specialised-exhibitions-in-september-2025</t>
  </si>
  <si>
    <t xml:space="preserve">50,000+ attendees from 65 countries, 18 country pavilions</t>
  </si>
  <si>
    <t xml:space="preserve">Dubai Derma 2026 dates</t>
  </si>
  <si>
    <t xml:space="preserve">https://www.dwtc.com/en/events/dubai-world-dermatology-and-laser-conference-and-exhibition-dubai-derma-2026/</t>
  </si>
  <si>
    <t xml:space="preserve">Confirms 8–10 Sep 2026 at DWTC</t>
  </si>
  <si>
    <t xml:space="preserve">Seamless Middle East 2026 — date conflict</t>
  </si>
  <si>
    <t xml:space="preserve">https://events.coinpedia.org/seamless-middle-east-2026-8120/ | https://ilikevents.com/event/10238-seamless-middle-east</t>
  </si>
  <si>
    <t xml:space="preserve">Sources disagree: 22–24 Sep 2026 (rebrand) vs 12–14 May 2026 — flagged for organiser verification</t>
  </si>
  <si>
    <t xml:space="preserve">NOTE: This tab is the broader research 'watch list' behind the calendar. Events with a published, sourced attendance figure have been promoted into the quantitative 'Event Calendar' master tab (Middle East Energy, Dubai Derma, Arabian Travel Market and Seamless Middle East were added from this list on review). Remaining rows here lack a quantified attendance figure and are kept as monitoring items rather than being modelled, to avoid fabricating numbers.</t>
  </si>
  <si>
    <t xml:space="preserve">Dates</t>
  </si>
  <si>
    <t xml:space="preserve">Stated Attendance</t>
  </si>
  <si>
    <t xml:space="preserve">Hotel-Night Demand Indicators</t>
  </si>
  <si>
    <t xml:space="preserve">Sep 1–3</t>
  </si>
  <si>
    <t xml:space="preserve">35,000 attendees, 1,900 exhibitors, 250 speakers, 150+ countries </t>
  </si>
  <si>
    <t xml:space="preserve">High out-of-town; major energy sector trade show</t>
  </si>
  <si>
    <t xml:space="preserve">Experiential Planner Expo</t>
  </si>
  <si>
    <t xml:space="preserve">Sep 2–3</t>
  </si>
  <si>
    <t xml:space="preserve">Dubai</t>
  </si>
  <si>
    <t xml:space="preserve">MICE sector event; planners, buyers, suppliers </t>
  </si>
  <si>
    <t xml:space="preserve">Moderate; industry-specific</t>
  </si>
  <si>
    <t xml:space="preserve">International Property Show (IPS)</t>
  </si>
  <si>
    <t xml:space="preserve">Sep 7–9</t>
  </si>
  <si>
    <t xml:space="preserve">Developers, investors, banks, legal firms </t>
  </si>
  <si>
    <t xml:space="preserve">Moderate-High; regional investor base</t>
  </si>
  <si>
    <t xml:space="preserve">AIM Congress</t>
  </si>
  <si>
    <t xml:space="preserve">Global investors, policymakers, business leaders </t>
  </si>
  <si>
    <t xml:space="preserve">High out-of-town; investment-focused</t>
  </si>
  <si>
    <t xml:space="preserve">Sep 8–10</t>
  </si>
  <si>
    <t xml:space="preserve">25,000+ visitors, 500+ speakers, 1,875 brands, 114 countries </t>
  </si>
  <si>
    <t xml:space="preserve">High out-of-town; medical professionals</t>
  </si>
  <si>
    <t xml:space="preserve">Crypto Expo</t>
  </si>
  <si>
    <t xml:space="preserve">Sep 9–10</t>
  </si>
  <si>
    <t xml:space="preserve">7,000+ attendees, 100 exhibitors, 140 speakers, 40+ countries </t>
  </si>
  <si>
    <t xml:space="preserve">High out-of-town concentration</t>
  </si>
  <si>
    <t xml:space="preserve">Arabian Travel Market (ATM)</t>
  </si>
  <si>
    <t xml:space="preserve">Sep 14–17</t>
  </si>
  <si>
    <t xml:space="preserve">Destinations, airlines, hotels, tech providers; theme: Travel 2040 </t>
  </si>
  <si>
    <t xml:space="preserve">High; major travel trade show</t>
  </si>
  <si>
    <t xml:space="preserve">Arab Media Summit</t>
  </si>
  <si>
    <t xml:space="preserve">Sep 15–17</t>
  </si>
  <si>
    <t xml:space="preserve">200+ media figures outside UAE, 10,000 regional professionals </t>
  </si>
  <si>
    <t xml:space="preserve">Moderate-High; regional draw</t>
  </si>
  <si>
    <t xml:space="preserve">Sep 16–18</t>
  </si>
  <si>
    <t xml:space="preserve">DEC, Expo City</t>
  </si>
  <si>
    <t xml:space="preserve">25,000+ professionals, 182+ countries, 350 leaders, 750 brands </t>
  </si>
  <si>
    <t xml:space="preserve">High out-of-town; cybersecurity sector</t>
  </si>
  <si>
    <t xml:space="preserve">MEBIS (Banking Innovation)</t>
  </si>
  <si>
    <t xml:space="preserve">Sep 16–17</t>
  </si>
  <si>
    <t xml:space="preserve">Jumeirah Emirates Towers</t>
  </si>
  <si>
    <t xml:space="preserve">Senior banking executives, tech specialists </t>
  </si>
  <si>
    <t xml:space="preserve">Moderate; DIFC-adjacent</t>
  </si>
  <si>
    <t xml:space="preserve">The Forex Expo</t>
  </si>
  <si>
    <t xml:space="preserve">Sep 22–23</t>
  </si>
  <si>
    <t xml:space="preserve">Brokers, traders, tech providers, financial institutions </t>
  </si>
  <si>
    <t xml:space="preserve">Moderate-High; international trading community</t>
  </si>
  <si>
    <t xml:space="preserve">Sep 22–24</t>
  </si>
  <si>
    <t xml:space="preserve">20,000+ attendees, 800 speakers, 750 exhibitors </t>
  </si>
  <si>
    <t xml:space="preserve">High; payments/fintech/digital commerce</t>
  </si>
  <si>
    <t xml:space="preserve">MEIDAM</t>
  </si>
  <si>
    <t xml:space="preserve">Sep 24–26</t>
  </si>
  <si>
    <t xml:space="preserve">4,500+ delegates, 107 nationalities, 300 lectures </t>
  </si>
  <si>
    <t xml:space="preserve">High out-of-town; medical congress</t>
  </si>
  <si>
    <t xml:space="preserve">Ru'ya Careers UAE</t>
  </si>
  <si>
    <t xml:space="preserve">Sep 28–30</t>
  </si>
  <si>
    <t xml:space="preserve">120+ companies, 23 industries </t>
  </si>
  <si>
    <t xml:space="preserve">Low-Moderate; primarily local/regional</t>
  </si>
  <si>
    <t xml:space="preserve">350+ exhibitors, 5,000 professionals, 24+ countries </t>
  </si>
  <si>
    <t xml:space="preserve">High out-of-town</t>
  </si>
  <si>
    <t xml:space="preserve">GOTECH</t>
  </si>
  <si>
    <t xml:space="preserve">Sep 29–Oct 1</t>
  </si>
  <si>
    <t xml:space="preserve">Oil &amp; gas technology showcase </t>
  </si>
  <si>
    <t xml:space="preserve">High out-of-town; energy sector</t>
  </si>
  <si>
    <t xml:space="preserve">AWS Summit Dubai</t>
  </si>
  <si>
    <t xml:space="preserve">Sep (exact date TBC)</t>
  </si>
  <si>
    <t xml:space="preserve">Cloud computing, AI/ML keynotes </t>
  </si>
  <si>
    <t xml:space="preserve">Moderate; regional tech community</t>
  </si>
  <si>
    <t xml:space="preserve">Future Hospitality Summit</t>
  </si>
  <si>
    <t xml:space="preserve">Hotel operators, investors, developers, tourism executives </t>
  </si>
  <si>
    <t xml:space="preserve">High; hospitality investment focus</t>
  </si>
  <si>
    <t xml:space="preserve">Oct 6–8</t>
  </si>
  <si>
    <t xml:space="preserve">Beauty/personal care trade show </t>
  </si>
  <si>
    <t xml:space="preserve">Moderate-High; regional trade buyers</t>
  </si>
  <si>
    <t xml:space="preserve">Airport Show &amp; Global Airport Leaders Forum</t>
  </si>
  <si>
    <t xml:space="preserve">Oct 12–14</t>
  </si>
  <si>
    <t xml:space="preserve">Aviation industry professionals </t>
  </si>
  <si>
    <t xml:space="preserve">Moderate; specialized sector</t>
  </si>
  <si>
    <t xml:space="preserve">RISE Global Real Estate Investment Summit</t>
  </si>
  <si>
    <t xml:space="preserve">Oct 13–14</t>
  </si>
  <si>
    <t xml:space="preserve">Real estate investors, developers </t>
  </si>
  <si>
    <t xml:space="preserve">Moderate-High</t>
  </si>
  <si>
    <t xml:space="preserve">Oct 20–22</t>
  </si>
  <si>
    <t xml:space="preserve">Water, energy, technology, environment exhibition </t>
  </si>
  <si>
    <t xml:space="preserve">High; large regional trade show</t>
  </si>
  <si>
    <t xml:space="preserve">World Green Economy Summit</t>
  </si>
  <si>
    <t xml:space="preserve">Oct 21–22</t>
  </si>
  <si>
    <t xml:space="preserve">Sustainability leaders, policymakers </t>
  </si>
  <si>
    <t xml:space="preserve">Moderate</t>
  </si>
  <si>
    <t xml:space="preserve">Dubai AI Festival</t>
  </si>
  <si>
    <t xml:space="preserve">Oct 26–27</t>
  </si>
  <si>
    <t xml:space="preserve">AI industry professionals, researchers </t>
  </si>
  <si>
    <t xml:space="preserve">Moderate-High; growing sector</t>
  </si>
  <si>
    <t xml:space="preserve">GITEX Global / GITEX TechCation (early activations)</t>
  </si>
  <si>
    <t xml:space="preserve">Building toward Dec</t>
  </si>
  <si>
    <t xml:space="preserve">Expo City</t>
  </si>
  <si>
    <t xml:space="preserve">Preparatory and promotional events </t>
  </si>
  <si>
    <t xml:space="preserve">Monitor</t>
  </si>
  <si>
    <t xml:space="preserve">Dubai Future Finance Week / Dubai FinTech Summit</t>
  </si>
  <si>
    <t xml:space="preserve">Nov 2–6</t>
  </si>
  <si>
    <t xml:space="preserve">DIFC &amp; across Dubai</t>
  </si>
  <si>
    <t xml:space="preserve">850+ speakers, 85+ events, 12 signature forums, 14 stages </t>
  </si>
  <si>
    <t xml:space="preserve">Very High; region's largest finance gathering; global decision-makers</t>
  </si>
  <si>
    <t xml:space="preserve">Gulf Host</t>
  </si>
  <si>
    <t xml:space="preserve">Nov 3–5</t>
  </si>
  <si>
    <t xml:space="preserve">Hospitality equipment, foodservice </t>
  </si>
  <si>
    <t xml:space="preserve">Food processing/manufacturing </t>
  </si>
  <si>
    <t xml:space="preserve">High out-of-town; global food industry</t>
  </si>
  <si>
    <t xml:space="preserve">ISM Middle East</t>
  </si>
  <si>
    <t xml:space="preserve">Sweets &amp; snacks trade show </t>
  </si>
  <si>
    <t xml:space="preserve">Private Label Middle East</t>
  </si>
  <si>
    <t xml:space="preserve">Private label products </t>
  </si>
  <si>
    <t xml:space="preserve">Nov 10–12</t>
  </si>
  <si>
    <t xml:space="preserve">Region's largest automotive aftermarket event </t>
  </si>
  <si>
    <t xml:space="preserve">GESS</t>
  </si>
  <si>
    <t xml:space="preserve">Education supplies/technology </t>
  </si>
  <si>
    <t xml:space="preserve">EV World Show</t>
  </si>
  <si>
    <t xml:space="preserve">Electric vehicle industry </t>
  </si>
  <si>
    <t xml:space="preserve">World Vape Show</t>
  </si>
  <si>
    <t xml:space="preserve">Vaping industry trade show </t>
  </si>
  <si>
    <t xml:space="preserve">World Art Dubai</t>
  </si>
  <si>
    <t xml:space="preserve">Nov 19–22</t>
  </si>
  <si>
    <t xml:space="preserve">Art fair; regional/international galleries </t>
  </si>
  <si>
    <t xml:space="preserve">Moderate; collector/visitor demand</t>
  </si>
  <si>
    <t xml:space="preserve">Nov 23–26</t>
  </si>
  <si>
    <t xml:space="preserve">Construction industry; co-located with GeoWorld, HVACR World, LiveableCitiesX, Future FM </t>
  </si>
  <si>
    <t xml:space="preserve">High; major global construction event</t>
  </si>
  <si>
    <t xml:space="preserve">Onset Expo</t>
  </si>
  <si>
    <t xml:space="preserve">Nov 20–22</t>
  </si>
  <si>
    <t xml:space="preserve">Low-Moderate; verify sector</t>
  </si>
  <si>
    <t xml:space="preserve">GITEX Global Summit</t>
  </si>
  <si>
    <t xml:space="preserve">Dec 4–8</t>
  </si>
  <si>
    <t xml:space="preserve">Tech leadership summit </t>
  </si>
  <si>
    <t xml:space="preserve">High; precursor to main GITEX</t>
  </si>
  <si>
    <t xml:space="preserve">GITEX Global / TechCation</t>
  </si>
  <si>
    <t xml:space="preserve">Dec 7–11</t>
  </si>
  <si>
    <t xml:space="preserve">"World's largest tech and AI event"; citywide activations; extended stay programming </t>
  </si>
  <si>
    <t xml:space="preserve">Very High; global tech executives, investors, startups; new December timing positions it in tourism season</t>
  </si>
  <si>
    <t xml:space="preserve">Sign &amp; Graphic Imaging M.E.</t>
  </si>
  <si>
    <t xml:space="preserve">Dec 7–9</t>
  </si>
  <si>
    <t xml:space="preserve">MEBAA Show Dubai</t>
  </si>
  <si>
    <t xml:space="preserve">Dec 8–10</t>
  </si>
  <si>
    <t xml:space="preserve">Business aviation </t>
  </si>
  <si>
    <t xml:space="preserve">Moderate-High; HNWI/executive audience</t>
  </si>
  <si>
    <t xml:space="preserve">UITP Conference</t>
  </si>
  <si>
    <t xml:space="preserve">Dec 9–10</t>
  </si>
  <si>
    <t xml:space="preserve">Public transport </t>
  </si>
  <si>
    <t xml:space="preserve">International Summit for Aviation Training</t>
  </si>
  <si>
    <t xml:space="preserve">Dec 14–15</t>
  </si>
  <si>
    <t xml:space="preserve">Asia Baby Children Maternity Exhibition</t>
  </si>
  <si>
    <t xml:space="preserve">Dec 15–17</t>
  </si>
  <si>
    <t xml:space="preserve">Low-Moderate; consumer</t>
  </si>
  <si>
    <t xml:space="preserve">International Appliance &amp; Electronics Show</t>
  </si>
  <si>
    <t xml:space="preserve">Low-Moderate</t>
  </si>
  <si>
    <t xml:space="preserve">China Products Fair</t>
  </si>
  <si>
    <t xml:space="preserve">Moderate; trade buyers</t>
  </si>
  <si>
    <t xml:space="preserve">January–December 2027 (Known Events)</t>
  </si>
  <si>
    <t xml:space="preserve">WHX Dubai 2027</t>
  </si>
  <si>
    <t xml:space="preserve">Jan 25–28, 2027</t>
  </si>
  <si>
    <t xml:space="preserve">Global healthcare industry, 4-day event </t>
  </si>
  <si>
    <t xml:space="preserve">Mar 15–19, 2027</t>
  </si>
  <si>
    <t xml:space="preserve">DWTC &amp; DEC, Expo City</t>
  </si>
  <si>
    <t xml:space="preserve">8,500+ exhibitors, 195 countries, 12 sectors; doubled exhibition area </t>
  </si>
  <si>
    <t xml:space="preserve">Very High; one of world's largest food trade shows</t>
  </si>
  <si>
    <t xml:space="preserve">MECAM Expo</t>
  </si>
  <si>
    <t xml:space="preserve">Sep 21–23, 2027</t>
  </si>
  <si>
    <t xml:space="preserve">Composites &amp; advanced materials; 4th edition </t>
  </si>
  <si>
    <t xml:space="preserve">Moderate-High; specialized industrial</t>
  </si>
  <si>
    <t xml:space="preserve">DigiMarCon Middle East 2027</t>
  </si>
  <si>
    <t xml:space="preserve">Sep 21, 2027</t>
  </si>
  <si>
    <t xml:space="preserve">Sofitel Dubai Jumeirah Beach</t>
  </si>
  <si>
    <t xml:space="preserve">Digital marketing conference </t>
  </si>
  <si>
    <t xml:space="preserve">Low-Moderate; smaller scale</t>
  </si>
  <si>
    <t xml:space="preserve">TECHSPO Dubai 2027</t>
  </si>
  <si>
    <t xml:space="preserve">TBD 2027</t>
  </si>
  <si>
    <t xml:space="preserve">Technology expo </t>
  </si>
  <si>
    <t xml:space="preserve">Moderate; verify dates</t>
  </si>
  <si>
    <t xml:space="preserve">Annual recurring demand patterns (reference — not tied to a specific dated row)</t>
  </si>
  <si>
    <t xml:space="preserve">Quick reference — 2026 confirmed DIP / DEC events (pulled from Event Calendar master)</t>
  </si>
  <si>
    <t xml:space="preserve">Venue / Area</t>
  </si>
  <si>
    <t xml:space="preserve">Occupancy impact</t>
  </si>
  <si>
    <t xml:space="preserve">ADR opportunity</t>
  </si>
  <si>
    <t xml:space="preserve">Event / period</t>
  </si>
  <si>
    <t xml:space="preserve">Typical location (approx.)</t>
  </si>
  <si>
    <t xml:space="preserve">Why it drives demand</t>
  </si>
  <si>
    <t xml:space="preserve">Likely hotel impact near DIP / Green Community</t>
  </si>
  <si>
    <t xml:space="preserve">GISEC Global (16–18 Sep)</t>
  </si>
  <si>
    <t xml:space="preserve">High</t>
  </si>
  <si>
    <t xml:space="preserve">Gulfood (annual, late Jan–Feb)</t>
  </si>
  <si>
    <t xml:space="preserve">DWTC + Dubai Exhibition Centre (Expo City)</t>
  </si>
  <si>
    <t xml:space="preserve">Very large international trade show; strong corporate travel</t>
  </si>
  <si>
    <t xml:space="preserve">High occupancy • good ADR especially midweek</t>
  </si>
  <si>
    <t xml:space="preserve">Middle East Coatings Show (28–30 Sep)</t>
  </si>
  <si>
    <t xml:space="preserve">Medium</t>
  </si>
  <si>
    <t xml:space="preserve">Dubai Marathon / peak winter sports weekends (annual, Jan)</t>
  </si>
  <si>
    <t xml:space="preserve">City-wide</t>
  </si>
  <si>
    <t xml:space="preserve">Leisure + participants + spectators</t>
  </si>
  <si>
    <t xml:space="preserve">Medium occupancy, limited ADR unless paired with other events</t>
  </si>
  <si>
    <t xml:space="preserve">CABSAT + SAT Expo (5–7 Oct)</t>
  </si>
  <si>
    <t xml:space="preserve">DIHAD / emergency &amp; humanitarian events (often Aug)</t>
  </si>
  <si>
    <t xml:space="preserve">DWTC/DEC</t>
  </si>
  <si>
    <t xml:space="preserve">International delegates, exhibitors</t>
  </si>
  <si>
    <t xml:space="preserve">Medium–high occupancy, medium ADR</t>
  </si>
  <si>
    <t xml:space="preserve">Automechanika Dubai (10–12 Nov)</t>
  </si>
  <si>
    <t xml:space="preserve">GITEX Global (annual, autumn)</t>
  </si>
  <si>
    <t xml:space="preserve">Dubai Exhibition Centre (Expo City)</t>
  </si>
  <si>
    <t xml:space="preserve">Major tech week; many corporate visitors</t>
  </si>
  <si>
    <t xml:space="preserve">High occupancy • high ADR</t>
  </si>
  <si>
    <t xml:space="preserve">GITEX Global (8–11 Dec)</t>
  </si>
  <si>
    <t xml:space="preserve">Very High</t>
  </si>
  <si>
    <t xml:space="preserve">Arabian Travel Market (annual, typically May)</t>
  </si>
  <si>
    <t xml:space="preserve">Large travel trade show</t>
  </si>
  <si>
    <t xml:space="preserve">High occupancy • good ADR</t>
  </si>
  <si>
    <t xml:space="preserve">Michelin 24H Dubai (8–10 Jan)</t>
  </si>
  <si>
    <t xml:space="preserve">Dubai Autodrome</t>
  </si>
  <si>
    <t xml:space="preserve">Middle East Energy (annual, typically Mar–Apr)</t>
  </si>
  <si>
    <t xml:space="preserve">Large B2B expo</t>
  </si>
  <si>
    <t xml:space="preserve">Medium–high occupancy • medium ADR</t>
  </si>
  <si>
    <t xml:space="preserve">City-wide peak leisure periods (Eid breaks, Dec/NY, school holidays)</t>
  </si>
  <si>
    <t xml:space="preserve">Leisure travel spike</t>
  </si>
  <si>
    <t xml:space="preserve">High occupancy, ADR depends on competitive set and restrictions</t>
  </si>
  <si>
    <t xml:space="preserve">Large MICE weeks at Expo City / DEC (multi-event clusters)</t>
  </si>
  <si>
    <t xml:space="preserve">Co-located events create compressed demand</t>
  </si>
  <si>
    <t xml:space="preserve">High occupancy, good ADR if inventory tight</t>
  </si>
  <si>
    <t xml:space="preserve">Total Attendance*</t>
  </si>
  <si>
    <t xml:space="preserve">Citywide Market Room-Night Demand (Out-of-Town)</t>
  </si>
  <si>
    <t xml:space="preserve">Lakeview Potential Room Nights</t>
  </si>
  <si>
    <t xml:space="preserve">1–3 Sep 2026</t>
  </si>
  <si>
    <t xml:space="preserve">45,000</t>
  </si>
  <si>
    <t xml:space="preserve">19,286–43,393</t>
  </si>
  <si>
    <t xml:space="preserve">39–304</t>
  </si>
  <si>
    <t xml:space="preserve">8–10 Sep 2026</t>
  </si>
  <si>
    <t xml:space="preserve">25,000</t>
  </si>
  <si>
    <t xml:space="preserve">10,714–24,107</t>
  </si>
  <si>
    <t xml:space="preserve">11–96</t>
  </si>
  <si>
    <t xml:space="preserve">14–17 Sep 2026</t>
  </si>
  <si>
    <t xml:space="preserve">50,000</t>
  </si>
  <si>
    <t xml:space="preserve">40,179–75,000</t>
  </si>
  <si>
    <t xml:space="preserve">80–525</t>
  </si>
  <si>
    <t xml:space="preserve">16–18 Sep 2026</t>
  </si>
  <si>
    <t xml:space="preserve">15,000</t>
  </si>
  <si>
    <t xml:space="preserve">3,857–9,375</t>
  </si>
  <si>
    <t xml:space="preserve">8–75</t>
  </si>
  <si>
    <t xml:space="preserve">22–24 Sep 2026</t>
  </si>
  <si>
    <t xml:space="preserve">20,000</t>
  </si>
  <si>
    <t xml:space="preserve">6,429–14,286</t>
  </si>
  <si>
    <t xml:space="preserve">6–57</t>
  </si>
  <si>
    <t xml:space="preserve">28–30 Sep 2026</t>
  </si>
  <si>
    <t xml:space="preserve">10,000</t>
  </si>
  <si>
    <t xml:space="preserve">2,571–6,250</t>
  </si>
  <si>
    <t xml:space="preserve">5–50</t>
  </si>
  <si>
    <t xml:space="preserve">5–7 Oct 2026</t>
  </si>
  <si>
    <t xml:space="preserve">6–8 Oct 2026</t>
  </si>
  <si>
    <t xml:space="preserve">85,291</t>
  </si>
  <si>
    <t xml:space="preserve">30,461–73,107</t>
  </si>
  <si>
    <t xml:space="preserve">61–512</t>
  </si>
  <si>
    <t xml:space="preserve">12–14 Oct 2026</t>
  </si>
  <si>
    <t xml:space="preserve">5,143–12,500</t>
  </si>
  <si>
    <t xml:space="preserve">20–22 Oct 2026</t>
  </si>
  <si>
    <t xml:space="preserve">12,857–31,250</t>
  </si>
  <si>
    <t xml:space="preserve">13–125</t>
  </si>
  <si>
    <t xml:space="preserve">22–24 Oct 2026</t>
  </si>
  <si>
    <t xml:space="preserve">12,000</t>
  </si>
  <si>
    <t xml:space="preserve">3,086–7,500</t>
  </si>
  <si>
    <t xml:space="preserve">6–60</t>
  </si>
  <si>
    <t xml:space="preserve">27–29 Oct 2026</t>
  </si>
  <si>
    <t xml:space="preserve">30 Oct–01 Nov 2026</t>
  </si>
  <si>
    <t xml:space="preserve">11,571–28,125</t>
  </si>
  <si>
    <t xml:space="preserve">23–225</t>
  </si>
  <si>
    <t xml:space="preserve">3–5 Nov 2026</t>
  </si>
  <si>
    <t xml:space="preserve">61,907</t>
  </si>
  <si>
    <t xml:space="preserve">38,692–77,384</t>
  </si>
  <si>
    <t xml:space="preserve">116–619</t>
  </si>
  <si>
    <t xml:space="preserve">10–12 Nov 2026</t>
  </si>
  <si>
    <t xml:space="preserve">50,408</t>
  </si>
  <si>
    <t xml:space="preserve">18,003–43,207</t>
  </si>
  <si>
    <t xml:space="preserve">36–302</t>
  </si>
  <si>
    <t xml:space="preserve">23–26 Nov 2026</t>
  </si>
  <si>
    <t xml:space="preserve">85,000</t>
  </si>
  <si>
    <t xml:space="preserve">30,357–72,857</t>
  </si>
  <si>
    <t xml:space="preserve">61–510</t>
  </si>
  <si>
    <t xml:space="preserve">7–11 Dec 2026</t>
  </si>
  <si>
    <t xml:space="preserve">200,000</t>
  </si>
  <si>
    <t xml:space="preserve">71,429–171,429</t>
  </si>
  <si>
    <t xml:space="preserve">143–1,029</t>
  </si>
  <si>
    <t xml:space="preserve">12–14 Jan 2027</t>
  </si>
  <si>
    <t xml:space="preserve">44,764</t>
  </si>
  <si>
    <t xml:space="preserve">11,511–27,978</t>
  </si>
  <si>
    <t xml:space="preserve">12–112</t>
  </si>
  <si>
    <t xml:space="preserve">25–28 Jan 2027</t>
  </si>
  <si>
    <t xml:space="preserve">235,000</t>
  </si>
  <si>
    <t xml:space="preserve">83,929–201,429</t>
  </si>
  <si>
    <t xml:space="preserve">168–1,209</t>
  </si>
  <si>
    <t xml:space="preserve">26–29 Jan 2027</t>
  </si>
  <si>
    <t xml:space="preserve">6,429–15,625</t>
  </si>
  <si>
    <t xml:space="preserve">6–62</t>
  </si>
  <si>
    <t xml:space="preserve">15–19 Mar 2027</t>
  </si>
  <si>
    <t xml:space="preserve">300,000</t>
  </si>
  <si>
    <t xml:space="preserve">187,500–375,000</t>
  </si>
  <si>
    <t xml:space="preserve">562–3,000</t>
  </si>
  <si>
    <t xml:space="preserve">May 2027 (TBC)</t>
  </si>
  <si>
    <t xml:space="preserve">TBC</t>
  </si>
  <si>
    <t xml:space="preserve">Oct 2027 (TBC)</t>
  </si>
  <si>
    <t xml:space="preserve">Nov 2027 (TBC)</t>
  </si>
  <si>
    <t xml:space="preserve">15–19 Nov 2027</t>
  </si>
  <si>
    <t xml:space="preserve">248,788</t>
  </si>
  <si>
    <t xml:space="preserve">155,492–279,887</t>
  </si>
  <si>
    <t xml:space="preserve">777–2,799</t>
  </si>
  <si>
    <t xml:space="preserve">Dec 2027 (TBC)</t>
  </si>
  <si>
    <t xml:space="preserve">* Column 5 is CITYWIDE out-of-town room-night demand (all competing hotels), not demand captured by Millennium Lakeview alone — this corrects the previous version of this tab, which mislabelled the citywide figure as 'Impact on MLVH'. See column 6 for the property-specific planning estimate, and the Methodology tab for the capture-rate assumptions behind it.</t>
  </si>
  <si>
    <t xml:space="preserve">Highest Compression / ADR-Opportunity Dates for Millennium Lakeview</t>
  </si>
  <si>
    <t xml:space="preserve">Ranked by citywide out-of-town room-night demand near Green Community / DIP — recalculated from the corrected Event Calendar master.</t>
  </si>
  <si>
    <t xml:space="preserve">Rank</t>
  </si>
  <si>
    <t xml:space="preserve">Citywide Room-Night Demand (Out-of-Town)</t>
  </si>
  <si>
    <t xml:space="preserve">MILLENNIUM LAKEVIEW HOTEL</t>
  </si>
  <si>
    <t xml:space="preserve">Event Demand &amp; ADR Calendar</t>
  </si>
  <si>
    <t xml:space="preserve">September 2026 – December 2027  |  DIP · Green Community · Expo City Impact Zone</t>
  </si>
  <si>
    <t xml:space="preserve">Hotel Impact:</t>
  </si>
  <si>
    <t xml:space="preserve">Figures are citywide/property planning estimates — see Methodology tab. Verify TBC dates before blocking inventory.</t>
  </si>
  <si>
    <t xml:space="preserve">SEPTEMBER 2026</t>
  </si>
  <si>
    <t xml:space="preserve">Top Source Markets</t>
  </si>
  <si>
    <t xml:space="preserve">Market Room-Nights (Out-of-Town)</t>
  </si>
  <si>
    <t xml:space="preserve">Lakeview Potential Room-Nights</t>
  </si>
  <si>
    <t xml:space="preserve">DIP Area ADR (AED)</t>
  </si>
  <si>
    <t xml:space="preserve">AED 448–494</t>
  </si>
  <si>
    <t xml:space="preserve">AED 410–437</t>
  </si>
  <si>
    <t xml:space="preserve">OCTOBER 2026</t>
  </si>
  <si>
    <t xml:space="preserve">NOVEMBER 2026</t>
  </si>
  <si>
    <t xml:space="preserve">DECEMBER 2026</t>
  </si>
  <si>
    <t xml:space="preserve">AED 494–551</t>
  </si>
  <si>
    <t xml:space="preserve">JANUARY 2027</t>
  </si>
  <si>
    <t xml:space="preserve">MARCH 2027</t>
  </si>
  <si>
    <t xml:space="preserve">MAY 2027</t>
  </si>
  <si>
    <t xml:space="preserve">OCTOBER 2027</t>
  </si>
  <si>
    <t xml:space="preserve">NOVEMBER 2027</t>
  </si>
  <si>
    <t xml:space="preserve">DECEMBER 2027</t>
  </si>
  <si>
    <t xml:space="preserve">Prepared from the Event Calendar master tab. Attendance figures updated to the latest published actual/benchmark editions (GITEX, Big 5, Beautyworld, WETEX, Gulfood, WHX Dubai, Dubai Airshow) — see Methodology &amp; Source Log tabs for sourcing and the DIP Area ADR assumption model. TBC rows require organiser date confirmation before committing inventory.</t>
  </si>
</sst>
</file>

<file path=xl/styles.xml><?xml version="1.0" encoding="utf-8"?>
<styleSheet xmlns="http://schemas.openxmlformats.org/spreadsheetml/2006/main">
  <numFmts count="6">
    <numFmt numFmtId="164" formatCode="General"/>
    <numFmt numFmtId="165" formatCode="dd\-mmm\-yyyy"/>
    <numFmt numFmtId="166" formatCode="0%"/>
    <numFmt numFmtId="167" formatCode="0.0%"/>
    <numFmt numFmtId="168" formatCode="mmm\-yy"/>
    <numFmt numFmtId="169" formatCode="mmm\ yyyy"/>
  </numFmts>
  <fonts count="31">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5"/>
      <color rgb="FF000000"/>
      <name val="Calibri"/>
      <family val="0"/>
      <charset val="1"/>
    </font>
    <font>
      <b val="true"/>
      <sz val="11"/>
      <color rgb="FF7F6000"/>
      <name val="Calibri"/>
      <family val="0"/>
      <charset val="1"/>
    </font>
    <font>
      <b val="true"/>
      <sz val="11"/>
      <color rgb="FF1F4E78"/>
      <name val="Calibri"/>
      <family val="0"/>
      <charset val="1"/>
    </font>
    <font>
      <b val="true"/>
      <sz val="11"/>
      <color rgb="FF9C0006"/>
      <name val="Calibri"/>
      <family val="0"/>
      <charset val="1"/>
    </font>
    <font>
      <b val="true"/>
      <sz val="11"/>
      <name val="Calibri"/>
      <family val="0"/>
      <charset val="1"/>
    </font>
    <font>
      <sz val="11"/>
      <name val="Calibri"/>
      <family val="0"/>
      <charset val="1"/>
    </font>
    <font>
      <b val="true"/>
      <sz val="12"/>
      <color rgb="FF000000"/>
      <name val="Aptos"/>
      <family val="2"/>
      <charset val="1"/>
    </font>
    <font>
      <i val="true"/>
      <sz val="11"/>
      <color rgb="FF7F6000"/>
      <name val="Calibri"/>
      <family val="0"/>
      <charset val="1"/>
    </font>
    <font>
      <sz val="12"/>
      <color rgb="FF000000"/>
      <name val="Aptos"/>
      <family val="2"/>
      <charset val="1"/>
    </font>
    <font>
      <sz val="11"/>
      <color rgb="FF0F1115"/>
      <name val="Calibri"/>
      <family val="2"/>
      <charset val="1"/>
    </font>
    <font>
      <b val="true"/>
      <sz val="12"/>
      <color rgb="FF1F4E78"/>
      <name val="Calibri"/>
      <family val="0"/>
      <charset val="1"/>
    </font>
    <font>
      <b val="true"/>
      <sz val="11"/>
      <color theme="1"/>
      <name val="Calibri"/>
      <family val="2"/>
      <charset val="1"/>
    </font>
    <font>
      <b val="true"/>
      <sz val="13"/>
      <color rgb="FF1F4E78"/>
      <name val="Calibri"/>
      <family val="0"/>
      <charset val="1"/>
    </font>
    <font>
      <i val="true"/>
      <sz val="11"/>
      <name val="Calibri"/>
      <family val="0"/>
      <charset val="1"/>
    </font>
    <font>
      <sz val="11"/>
      <color theme="1"/>
      <name val="Segoe UI"/>
      <family val="2"/>
      <charset val="1"/>
    </font>
    <font>
      <b val="true"/>
      <sz val="18"/>
      <color rgb="FFFFFFFF"/>
      <name val="Calibri"/>
      <family val="0"/>
      <charset val="1"/>
    </font>
    <font>
      <sz val="13"/>
      <color rgb="FFFFFFFF"/>
      <name val="Calibri"/>
      <family val="0"/>
      <charset val="1"/>
    </font>
    <font>
      <sz val="10.5"/>
      <color rgb="FFCFE2F3"/>
      <name val="Calibri"/>
      <family val="0"/>
      <charset val="1"/>
    </font>
    <font>
      <b val="true"/>
      <sz val="9"/>
      <name val="Calibri"/>
      <family val="0"/>
      <charset val="1"/>
    </font>
    <font>
      <b val="true"/>
      <sz val="9"/>
      <color rgb="FF1F4E78"/>
      <name val="Calibri"/>
      <family val="0"/>
      <charset val="1"/>
    </font>
    <font>
      <b val="true"/>
      <sz val="9"/>
      <color rgb="FF7F6000"/>
      <name val="Calibri"/>
      <family val="0"/>
      <charset val="1"/>
    </font>
    <font>
      <b val="true"/>
      <sz val="9"/>
      <color rgb="FF9C0006"/>
      <name val="Calibri"/>
      <family val="0"/>
      <charset val="1"/>
    </font>
    <font>
      <i val="true"/>
      <sz val="8.5"/>
      <color rgb="FF808080"/>
      <name val="Calibri"/>
      <family val="0"/>
      <charset val="1"/>
    </font>
    <font>
      <b val="true"/>
      <sz val="10"/>
      <name val="Calibri"/>
      <family val="0"/>
      <charset val="1"/>
    </font>
    <font>
      <i val="true"/>
      <sz val="10"/>
      <color rgb="FF808080"/>
      <name val="Calibri"/>
      <family val="0"/>
      <charset val="1"/>
    </font>
    <font>
      <u val="single"/>
      <sz val="11"/>
      <color theme="10"/>
      <name val="Calibri"/>
      <family val="2"/>
      <charset val="1"/>
    </font>
  </fonts>
  <fills count="8">
    <fill>
      <patternFill patternType="none"/>
    </fill>
    <fill>
      <patternFill patternType="gray125"/>
    </fill>
    <fill>
      <patternFill patternType="solid">
        <fgColor rgb="FF1F4E78"/>
        <bgColor rgb="FF003366"/>
      </patternFill>
    </fill>
    <fill>
      <patternFill patternType="solid">
        <fgColor rgb="FFF7FAFD"/>
        <bgColor rgb="FFFFFFFF"/>
      </patternFill>
    </fill>
    <fill>
      <patternFill patternType="solid">
        <fgColor rgb="FFFFF2CC"/>
        <bgColor rgb="FFFCE4E4"/>
      </patternFill>
    </fill>
    <fill>
      <patternFill patternType="solid">
        <fgColor rgb="FFDDEBF7"/>
        <bgColor rgb="FFCFE2F3"/>
      </patternFill>
    </fill>
    <fill>
      <patternFill patternType="solid">
        <fgColor rgb="FFFCE4E4"/>
        <bgColor rgb="FFFFF2CC"/>
      </patternFill>
    </fill>
    <fill>
      <patternFill patternType="solid">
        <fgColor rgb="FF2E74B5"/>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0" fillId="0" borderId="0"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6" fontId="5" fillId="3" borderId="1" xfId="0" applyFont="true" applyBorder="true" applyAlignment="true" applyProtection="false">
      <alignment horizontal="center" vertical="center" textRotation="0" wrapText="false" indent="0" shrinkToFit="false"/>
      <protection locked="true" hidden="false"/>
    </xf>
    <xf numFmtId="167"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1" shrinkToFit="false"/>
      <protection locked="true" hidden="false"/>
    </xf>
    <xf numFmtId="164" fontId="14" fillId="0" borderId="0" xfId="0" applyFont="true" applyBorder="false" applyAlignment="true" applyProtection="false">
      <alignment horizontal="left" vertical="center" textRotation="0" wrapText="true" indent="1"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9" fontId="10" fillId="0" borderId="0" xfId="0" applyFont="true" applyBorder="false" applyAlignment="true" applyProtection="false">
      <alignment horizontal="general" vertical="top" textRotation="0" wrapText="true" indent="0" shrinkToFit="false"/>
      <protection locked="true" hidden="false"/>
    </xf>
    <xf numFmtId="168" fontId="10" fillId="0" borderId="0" xfId="0" applyFont="true" applyBorder="fals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center" vertical="center" textRotation="0" wrapText="false" indent="0" shrinkToFit="false"/>
      <protection locked="true" hidden="false"/>
    </xf>
    <xf numFmtId="168" fontId="5" fillId="3"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true" applyAlignment="true" applyProtection="false">
      <alignment horizontal="general" vertical="center" textRotation="0" wrapText="false" indent="0" shrinkToFit="false"/>
      <protection locked="true" hidden="false"/>
    </xf>
    <xf numFmtId="164" fontId="24" fillId="5"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26" fillId="6"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8" fontId="4" fillId="7" borderId="0"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left" vertical="center" textRotation="0" wrapText="false" indent="0" shrinkToFit="false"/>
      <protection locked="true" hidden="false"/>
    </xf>
    <xf numFmtId="164" fontId="28" fillId="0" borderId="1" xfId="0" applyFont="true" applyBorder="true" applyAlignment="true" applyProtection="false">
      <alignment horizontal="left" vertical="center" textRotation="0" wrapText="false" indent="0" shrinkToFit="false"/>
      <protection locked="true" hidden="false"/>
    </xf>
    <xf numFmtId="164" fontId="29" fillId="3" borderId="1" xfId="0" applyFont="true" applyBorder="true" applyAlignment="true" applyProtection="false">
      <alignment horizontal="center" vertical="center" textRotation="0" wrapText="false" indent="0" shrinkToFit="false"/>
      <protection locked="true" hidden="false"/>
    </xf>
    <xf numFmtId="164" fontId="4" fillId="7" borderId="0" xfId="20" applyFont="true" applyBorder="true" applyAlignment="true" applyProtection="false">
      <alignment horizontal="center" vertical="center" textRotation="0" wrapText="false" indent="0" shrinkToFit="false"/>
      <protection locked="true" hidden="false"/>
    </xf>
    <xf numFmtId="164" fontId="4" fillId="7" borderId="0" xfId="0" applyFont="true" applyBorder="true" applyAlignment="true" applyProtection="false">
      <alignment horizontal="center" vertical="center" textRotation="0" wrapText="false" indent="0" shrinkToFit="false"/>
      <protection locked="true" hidden="false"/>
    </xf>
    <xf numFmtId="164" fontId="5" fillId="0" borderId="1" xfId="20" applyFont="true" applyBorder="true" applyAlignment="true" applyProtection="false">
      <alignment horizontal="center" vertical="center" textRotation="0" wrapText="false" indent="0" shrinkToFit="false"/>
      <protection locked="true" hidden="false"/>
    </xf>
    <xf numFmtId="164" fontId="4" fillId="2" borderId="1" xfId="20" applyFont="true" applyBorder="true" applyAlignment="true" applyProtection="false">
      <alignment horizontal="center" vertical="center" textRotation="0" wrapText="true" indent="0" shrinkToFit="false"/>
      <protection locked="true" hidden="false"/>
    </xf>
    <xf numFmtId="164" fontId="29" fillId="0" borderId="1" xfId="0" applyFont="true" applyBorder="true" applyAlignment="true" applyProtection="false">
      <alignment horizontal="center" vertical="center" textRotation="0" wrapText="false" indent="0" shrinkToFit="false"/>
      <protection locked="true" hidden="false"/>
    </xf>
    <xf numFmtId="168" fontId="2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1" shrinkToFit="false"/>
      <protection locked="true" hidden="false"/>
    </xf>
    <xf numFmtId="164" fontId="27"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general" vertical="center" textRotation="0" wrapText="false" indent="0" shrinkToFit="false"/>
      <protection locked="true" hidden="false"/>
    </xf>
    <xf numFmtId="164" fontId="10" fillId="0" borderId="0" xfId="20" applyFont="true" applyBorder="true" applyAlignment="true" applyProtection="false">
      <alignment horizontal="left" vertical="center" textRotation="0" wrapText="fals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0">
    <dxf>
      <fill>
        <patternFill patternType="solid">
          <fgColor rgb="FF1F4E78"/>
          <bgColor rgb="FF000000"/>
        </patternFill>
      </fill>
    </dxf>
    <dxf>
      <fill>
        <patternFill patternType="solid">
          <fgColor rgb="FFF7FAFD"/>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E4"/>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F7FAFD"/>
      <rgbColor rgb="FFCCFFCC"/>
      <rgbColor rgb="FFFFFF99"/>
      <rgbColor rgb="FF99CCFF"/>
      <rgbColor rgb="FFFF99CC"/>
      <rgbColor rgb="FFCC99FF"/>
      <rgbColor rgb="FFFCE4E4"/>
      <rgbColor rgb="FF2E74B5"/>
      <rgbColor rgb="FF33CCCC"/>
      <rgbColor rgb="FF99CC00"/>
      <rgbColor rgb="FFFFCC00"/>
      <rgbColor rgb="FFFF9900"/>
      <rgbColor rgb="FFFF6600"/>
      <rgbColor rgb="FF666699"/>
      <rgbColor rgb="FF969696"/>
      <rgbColor rgb="FF003366"/>
      <rgbColor rgb="FF339966"/>
      <rgbColor rgb="FF0F1115"/>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6" activeCellId="0" sqref="A6"/>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3" min="2" style="0" width="12"/>
    <col collapsed="false" customWidth="true" hidden="false" outlineLevel="0" max="4" min="4" style="0" width="26"/>
    <col collapsed="false" customWidth="true" hidden="false" outlineLevel="0" max="6" min="5" style="0" width="18"/>
    <col collapsed="false" customWidth="true" hidden="false" outlineLevel="0" max="7" min="7" style="0" width="13"/>
    <col collapsed="false" customWidth="true" hidden="false" outlineLevel="0" max="8" min="8" style="0" width="11"/>
    <col collapsed="false" customWidth="true" hidden="false" outlineLevel="0" max="9" min="9" style="0" width="40"/>
    <col collapsed="false" customWidth="true" hidden="false" outlineLevel="0" max="10" min="10" style="0" width="30"/>
    <col collapsed="false" customWidth="true" hidden="false" outlineLevel="0" max="20" min="11" style="0" width="10"/>
    <col collapsed="false" customWidth="true" hidden="false" outlineLevel="0" max="21" min="21" style="0" width="12"/>
    <col collapsed="false" customWidth="true" hidden="false" outlineLevel="0" max="22" min="22" style="0" width="11"/>
    <col collapsed="false" customWidth="true" hidden="false" outlineLevel="0" max="24" min="23" style="0" width="13"/>
    <col collapsed="false" customWidth="true" hidden="false" outlineLevel="0" max="25" min="25" style="0" width="14"/>
    <col collapsed="false" customWidth="true" hidden="false" outlineLevel="0" max="26" min="26" style="0" width="42"/>
    <col collapsed="false" customWidth="true" hidden="true" outlineLevel="0" max="27" min="27" style="0" width="1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25.35" hidden="false" customHeight="false" outlineLevel="0" collapsed="false">
      <c r="A2" s="2" t="s">
        <v>27</v>
      </c>
      <c r="B2" s="3" t="n">
        <v>46266</v>
      </c>
      <c r="C2" s="3" t="n">
        <v>46268</v>
      </c>
      <c r="D2" s="2" t="s">
        <v>28</v>
      </c>
      <c r="E2" s="2" t="s">
        <v>29</v>
      </c>
      <c r="F2" s="2" t="s">
        <v>30</v>
      </c>
      <c r="G2" s="4" t="n">
        <v>45000</v>
      </c>
      <c r="H2" s="4" t="n">
        <v>1900</v>
      </c>
      <c r="I2" s="5" t="s">
        <v>31</v>
      </c>
      <c r="J2" s="5" t="s">
        <v>32</v>
      </c>
      <c r="K2" s="6" t="n">
        <v>0.3</v>
      </c>
      <c r="L2" s="6" t="n">
        <v>0.45</v>
      </c>
      <c r="M2" s="4" t="n">
        <v>2</v>
      </c>
      <c r="N2" s="4" t="n">
        <v>3</v>
      </c>
      <c r="O2" s="4" t="n">
        <v>1.4</v>
      </c>
      <c r="P2" s="4" t="n">
        <f aca="false">IFERROR(ROUND(G2*K2*M2/O2,0),"")</f>
        <v>19286</v>
      </c>
      <c r="Q2" s="4" t="n">
        <f aca="false">IFERROR(ROUND(G2*L2*N2/O2,0),"")</f>
        <v>43393</v>
      </c>
      <c r="R2" s="7" t="n">
        <v>0.002</v>
      </c>
      <c r="S2" s="7" t="n">
        <v>0.007</v>
      </c>
      <c r="T2" s="4" t="n">
        <f aca="false">IFERROR(ROUND(P2*R2,0),"")</f>
        <v>39</v>
      </c>
      <c r="U2" s="4" t="n">
        <f aca="false">IFERROR(ROUND(Q2*S2,0),"")</f>
        <v>304</v>
      </c>
      <c r="V2" s="8" t="s">
        <v>33</v>
      </c>
      <c r="W2" s="4" t="n">
        <f aca="false">ROUND(Methodology!$B$11*IF(V2="VERY HIGH",1.3,IF(V2="HIGH",1.18,1.08)),0)</f>
        <v>448</v>
      </c>
      <c r="X2" s="4" t="n">
        <f aca="false">ROUND(Methodology!$B$11*IF(V2="VERY HIGH",1.45,IF(V2="HIGH",1.3,1.15)),0)</f>
        <v>494</v>
      </c>
      <c r="Y2" s="4" t="s">
        <v>34</v>
      </c>
      <c r="Z2" s="5" t="s">
        <v>35</v>
      </c>
      <c r="AA2" s="4" t="str">
        <f aca="false">TEXT(B2,"yyyy-mm")</f>
        <v>2026-09</v>
      </c>
    </row>
    <row r="3" customFormat="false" ht="25.35" hidden="false" customHeight="false" outlineLevel="0" collapsed="false">
      <c r="A3" s="9" t="s">
        <v>36</v>
      </c>
      <c r="B3" s="10" t="n">
        <v>46273</v>
      </c>
      <c r="C3" s="10" t="n">
        <v>46275</v>
      </c>
      <c r="D3" s="9" t="s">
        <v>28</v>
      </c>
      <c r="E3" s="9" t="s">
        <v>29</v>
      </c>
      <c r="F3" s="9" t="s">
        <v>37</v>
      </c>
      <c r="G3" s="11" t="n">
        <v>25000</v>
      </c>
      <c r="H3" s="11" t="n">
        <v>1875</v>
      </c>
      <c r="I3" s="12" t="s">
        <v>38</v>
      </c>
      <c r="J3" s="12" t="s">
        <v>39</v>
      </c>
      <c r="K3" s="13" t="n">
        <v>0.3</v>
      </c>
      <c r="L3" s="13" t="n">
        <v>0.45</v>
      </c>
      <c r="M3" s="11" t="n">
        <v>2</v>
      </c>
      <c r="N3" s="11" t="n">
        <v>3</v>
      </c>
      <c r="O3" s="11" t="n">
        <v>1.4</v>
      </c>
      <c r="P3" s="11" t="n">
        <f aca="false">IFERROR(ROUND(G3*K3*M3/O3,0),"")</f>
        <v>10714</v>
      </c>
      <c r="Q3" s="11" t="n">
        <f aca="false">IFERROR(ROUND(G3*L3*N3/O3,0),"")</f>
        <v>24107</v>
      </c>
      <c r="R3" s="14" t="n">
        <v>0.001</v>
      </c>
      <c r="S3" s="14" t="n">
        <v>0.004</v>
      </c>
      <c r="T3" s="11" t="n">
        <f aca="false">IFERROR(ROUND(P3*R3,0),"")</f>
        <v>11</v>
      </c>
      <c r="U3" s="11" t="n">
        <f aca="false">IFERROR(ROUND(Q3*S3,0),"")</f>
        <v>96</v>
      </c>
      <c r="V3" s="8" t="s">
        <v>33</v>
      </c>
      <c r="W3" s="11" t="n">
        <f aca="false">ROUND(Methodology!$B$11*IF(V3="VERY HIGH",1.3,IF(V3="HIGH",1.18,1.08)),0)</f>
        <v>448</v>
      </c>
      <c r="X3" s="11" t="n">
        <f aca="false">ROUND(Methodology!$B$11*IF(V3="VERY HIGH",1.45,IF(V3="HIGH",1.3,1.15)),0)</f>
        <v>494</v>
      </c>
      <c r="Y3" s="11" t="s">
        <v>34</v>
      </c>
      <c r="Z3" s="12" t="s">
        <v>40</v>
      </c>
      <c r="AA3" s="11" t="str">
        <f aca="false">TEXT(B3,"yyyy-mm")</f>
        <v>2026-09</v>
      </c>
    </row>
    <row r="4" customFormat="false" ht="49.25" hidden="false" customHeight="false" outlineLevel="0" collapsed="false">
      <c r="A4" s="2" t="s">
        <v>41</v>
      </c>
      <c r="B4" s="3" t="n">
        <v>46279</v>
      </c>
      <c r="C4" s="3" t="n">
        <v>46282</v>
      </c>
      <c r="D4" s="2" t="s">
        <v>28</v>
      </c>
      <c r="E4" s="2" t="s">
        <v>29</v>
      </c>
      <c r="F4" s="2" t="s">
        <v>42</v>
      </c>
      <c r="G4" s="4" t="n">
        <v>50000</v>
      </c>
      <c r="H4" s="4" t="n">
        <v>2600</v>
      </c>
      <c r="I4" s="5" t="s">
        <v>43</v>
      </c>
      <c r="J4" s="5" t="s">
        <v>44</v>
      </c>
      <c r="K4" s="6" t="n">
        <v>0.45</v>
      </c>
      <c r="L4" s="6" t="n">
        <v>0.6</v>
      </c>
      <c r="M4" s="4" t="n">
        <v>2.5</v>
      </c>
      <c r="N4" s="4" t="n">
        <v>3.5</v>
      </c>
      <c r="O4" s="4" t="n">
        <v>1.4</v>
      </c>
      <c r="P4" s="4" t="n">
        <f aca="false">IFERROR(ROUND(G4*K4*M4/O4,0),"")</f>
        <v>40179</v>
      </c>
      <c r="Q4" s="4" t="n">
        <f aca="false">IFERROR(ROUND(G4*L4*N4/O4,0),"")</f>
        <v>75000</v>
      </c>
      <c r="R4" s="7" t="n">
        <v>0.002</v>
      </c>
      <c r="S4" s="7" t="n">
        <v>0.007</v>
      </c>
      <c r="T4" s="4" t="n">
        <f aca="false">IFERROR(ROUND(P4*R4,0),"")</f>
        <v>80</v>
      </c>
      <c r="U4" s="4" t="n">
        <f aca="false">IFERROR(ROUND(Q4*S4,0),"")</f>
        <v>525</v>
      </c>
      <c r="V4" s="8" t="s">
        <v>33</v>
      </c>
      <c r="W4" s="4" t="n">
        <f aca="false">ROUND(Methodology!$B$11*IF(V4="VERY HIGH",1.3,IF(V4="HIGH",1.18,1.08)),0)</f>
        <v>448</v>
      </c>
      <c r="X4" s="4" t="n">
        <f aca="false">ROUND(Methodology!$B$11*IF(V4="VERY HIGH",1.45,IF(V4="HIGH",1.3,1.15)),0)</f>
        <v>494</v>
      </c>
      <c r="Y4" s="4" t="s">
        <v>34</v>
      </c>
      <c r="Z4" s="5" t="s">
        <v>45</v>
      </c>
      <c r="AA4" s="4" t="str">
        <f aca="false">TEXT(B4,"yyyy-mm")</f>
        <v>2026-09</v>
      </c>
    </row>
    <row r="5" customFormat="false" ht="15" hidden="false" customHeight="false" outlineLevel="0" collapsed="false">
      <c r="A5" s="9" t="s">
        <v>46</v>
      </c>
      <c r="B5" s="10" t="n">
        <v>46281</v>
      </c>
      <c r="C5" s="10" t="n">
        <v>46283</v>
      </c>
      <c r="D5" s="9" t="s">
        <v>47</v>
      </c>
      <c r="E5" s="9" t="s">
        <v>48</v>
      </c>
      <c r="F5" s="9" t="s">
        <v>49</v>
      </c>
      <c r="G5" s="11" t="n">
        <v>15000</v>
      </c>
      <c r="H5" s="11" t="n">
        <v>700</v>
      </c>
      <c r="I5" s="12" t="s">
        <v>50</v>
      </c>
      <c r="J5" s="12" t="s">
        <v>39</v>
      </c>
      <c r="K5" s="13" t="n">
        <v>0.2</v>
      </c>
      <c r="L5" s="13" t="n">
        <v>0.35</v>
      </c>
      <c r="M5" s="11" t="n">
        <v>1.8</v>
      </c>
      <c r="N5" s="11" t="n">
        <v>2.5</v>
      </c>
      <c r="O5" s="11" t="n">
        <v>1.4</v>
      </c>
      <c r="P5" s="11" t="n">
        <f aca="false">IFERROR(ROUND(G5*K5*M5/O5,0),"")</f>
        <v>3857</v>
      </c>
      <c r="Q5" s="11" t="n">
        <f aca="false">IFERROR(ROUND(G5*L5*N5/O5,0),"")</f>
        <v>9375</v>
      </c>
      <c r="R5" s="14" t="n">
        <v>0.002</v>
      </c>
      <c r="S5" s="14" t="n">
        <v>0.008</v>
      </c>
      <c r="T5" s="11" t="n">
        <f aca="false">IFERROR(ROUND(P5*R5,0),"")</f>
        <v>8</v>
      </c>
      <c r="U5" s="11" t="n">
        <f aca="false">IFERROR(ROUND(Q5*S5,0),"")</f>
        <v>75</v>
      </c>
      <c r="V5" s="15" t="s">
        <v>51</v>
      </c>
      <c r="W5" s="11" t="n">
        <f aca="false">ROUND(Methodology!$B$11*IF(V5="VERY HIGH",1.3,IF(V5="HIGH",1.18,1.08)),0)</f>
        <v>410</v>
      </c>
      <c r="X5" s="11" t="n">
        <f aca="false">ROUND(Methodology!$B$11*IF(V5="VERY HIGH",1.45,IF(V5="HIGH",1.3,1.15)),0)</f>
        <v>437</v>
      </c>
      <c r="Y5" s="11" t="s">
        <v>34</v>
      </c>
      <c r="Z5" s="12"/>
      <c r="AA5" s="11" t="str">
        <f aca="false">TEXT(B5,"yyyy-mm")</f>
        <v>2026-09</v>
      </c>
    </row>
    <row r="6" customFormat="false" ht="30" hidden="false" customHeight="true" outlineLevel="0" collapsed="false">
      <c r="A6" s="2" t="s">
        <v>52</v>
      </c>
      <c r="B6" s="3" t="n">
        <v>46287</v>
      </c>
      <c r="C6" s="3" t="n">
        <v>46289</v>
      </c>
      <c r="D6" s="2" t="s">
        <v>28</v>
      </c>
      <c r="E6" s="2" t="s">
        <v>29</v>
      </c>
      <c r="F6" s="2" t="s">
        <v>53</v>
      </c>
      <c r="G6" s="4" t="n">
        <v>20000</v>
      </c>
      <c r="H6" s="4" t="n">
        <v>750</v>
      </c>
      <c r="I6" s="5" t="s">
        <v>54</v>
      </c>
      <c r="J6" s="5" t="s">
        <v>55</v>
      </c>
      <c r="K6" s="6" t="n">
        <v>0.25</v>
      </c>
      <c r="L6" s="6" t="n">
        <v>0.4</v>
      </c>
      <c r="M6" s="4" t="n">
        <v>1.8</v>
      </c>
      <c r="N6" s="4" t="n">
        <v>2.5</v>
      </c>
      <c r="O6" s="4" t="n">
        <v>1.4</v>
      </c>
      <c r="P6" s="4" t="n">
        <f aca="false">IFERROR(ROUND(G6*K6*M6/O6,0),"")</f>
        <v>6429</v>
      </c>
      <c r="Q6" s="4" t="n">
        <f aca="false">IFERROR(ROUND(G6*L6*N6/O6,0),"")</f>
        <v>14286</v>
      </c>
      <c r="R6" s="7" t="n">
        <v>0.001</v>
      </c>
      <c r="S6" s="7" t="n">
        <v>0.004</v>
      </c>
      <c r="T6" s="4" t="n">
        <f aca="false">IFERROR(ROUND(P6*R6,0),"")</f>
        <v>6</v>
      </c>
      <c r="U6" s="4" t="n">
        <f aca="false">IFERROR(ROUND(Q6*S6,0),"")</f>
        <v>57</v>
      </c>
      <c r="V6" s="15" t="s">
        <v>51</v>
      </c>
      <c r="W6" s="4" t="n">
        <f aca="false">ROUND(Methodology!$B$11*IF(V6="VERY HIGH",1.3,IF(V6="HIGH",1.18,1.08)),0)</f>
        <v>410</v>
      </c>
      <c r="X6" s="4" t="n">
        <f aca="false">ROUND(Methodology!$B$11*IF(V6="VERY HIGH",1.45,IF(V6="HIGH",1.3,1.15)),0)</f>
        <v>437</v>
      </c>
      <c r="Y6" s="4" t="s">
        <v>56</v>
      </c>
      <c r="Z6" s="5" t="s">
        <v>57</v>
      </c>
      <c r="AA6" s="4" t="str">
        <f aca="false">TEXT(B6,"yyyy-mm")</f>
        <v>2026-09</v>
      </c>
    </row>
    <row r="7" customFormat="false" ht="15" hidden="false" customHeight="false" outlineLevel="0" collapsed="false">
      <c r="A7" s="9" t="s">
        <v>58</v>
      </c>
      <c r="B7" s="10" t="n">
        <v>46293</v>
      </c>
      <c r="C7" s="10" t="n">
        <v>46295</v>
      </c>
      <c r="D7" s="9" t="s">
        <v>47</v>
      </c>
      <c r="E7" s="9" t="s">
        <v>48</v>
      </c>
      <c r="F7" s="9" t="s">
        <v>59</v>
      </c>
      <c r="G7" s="11" t="n">
        <v>10000</v>
      </c>
      <c r="H7" s="11" t="n">
        <v>500</v>
      </c>
      <c r="I7" s="12" t="s">
        <v>60</v>
      </c>
      <c r="J7" s="12" t="s">
        <v>39</v>
      </c>
      <c r="K7" s="13" t="n">
        <v>0.2</v>
      </c>
      <c r="L7" s="13" t="n">
        <v>0.35</v>
      </c>
      <c r="M7" s="11" t="n">
        <v>1.8</v>
      </c>
      <c r="N7" s="11" t="n">
        <v>2.5</v>
      </c>
      <c r="O7" s="11" t="n">
        <v>1.4</v>
      </c>
      <c r="P7" s="11" t="n">
        <f aca="false">IFERROR(ROUND(G7*K7*M7/O7,0),"")</f>
        <v>2571</v>
      </c>
      <c r="Q7" s="11" t="n">
        <f aca="false">IFERROR(ROUND(G7*L7*N7/O7,0),"")</f>
        <v>6250</v>
      </c>
      <c r="R7" s="14" t="n">
        <v>0.002</v>
      </c>
      <c r="S7" s="14" t="n">
        <v>0.008</v>
      </c>
      <c r="T7" s="11" t="n">
        <f aca="false">IFERROR(ROUND(P7*R7,0),"")</f>
        <v>5</v>
      </c>
      <c r="U7" s="11" t="n">
        <f aca="false">IFERROR(ROUND(Q7*S7,0),"")</f>
        <v>50</v>
      </c>
      <c r="V7" s="15" t="s">
        <v>51</v>
      </c>
      <c r="W7" s="11" t="n">
        <f aca="false">ROUND(Methodology!$B$11*IF(V7="VERY HIGH",1.3,IF(V7="HIGH",1.18,1.08)),0)</f>
        <v>410</v>
      </c>
      <c r="X7" s="11" t="n">
        <f aca="false">ROUND(Methodology!$B$11*IF(V7="VERY HIGH",1.45,IF(V7="HIGH",1.3,1.15)),0)</f>
        <v>437</v>
      </c>
      <c r="Y7" s="11" t="s">
        <v>34</v>
      </c>
      <c r="Z7" s="12"/>
      <c r="AA7" s="11" t="str">
        <f aca="false">TEXT(B7,"yyyy-mm")</f>
        <v>2026-09</v>
      </c>
    </row>
    <row r="8" customFormat="false" ht="15" hidden="false" customHeight="false" outlineLevel="0" collapsed="false">
      <c r="A8" s="2" t="s">
        <v>61</v>
      </c>
      <c r="B8" s="3" t="n">
        <v>46300</v>
      </c>
      <c r="C8" s="3" t="n">
        <v>46302</v>
      </c>
      <c r="D8" s="2" t="s">
        <v>47</v>
      </c>
      <c r="E8" s="2" t="s">
        <v>48</v>
      </c>
      <c r="F8" s="2" t="s">
        <v>62</v>
      </c>
      <c r="G8" s="4" t="n">
        <v>15000</v>
      </c>
      <c r="H8" s="4" t="n">
        <v>500</v>
      </c>
      <c r="I8" s="5" t="s">
        <v>63</v>
      </c>
      <c r="J8" s="5" t="s">
        <v>39</v>
      </c>
      <c r="K8" s="6" t="n">
        <v>0.2</v>
      </c>
      <c r="L8" s="6" t="n">
        <v>0.35</v>
      </c>
      <c r="M8" s="4" t="n">
        <v>1.8</v>
      </c>
      <c r="N8" s="4" t="n">
        <v>2.5</v>
      </c>
      <c r="O8" s="4" t="n">
        <v>1.4</v>
      </c>
      <c r="P8" s="4" t="n">
        <f aca="false">IFERROR(ROUND(G8*K8*M8/O8,0),"")</f>
        <v>3857</v>
      </c>
      <c r="Q8" s="4" t="n">
        <f aca="false">IFERROR(ROUND(G8*L8*N8/O8,0),"")</f>
        <v>9375</v>
      </c>
      <c r="R8" s="7" t="n">
        <v>0.002</v>
      </c>
      <c r="S8" s="7" t="n">
        <v>0.008</v>
      </c>
      <c r="T8" s="4" t="n">
        <f aca="false">IFERROR(ROUND(P8*R8,0),"")</f>
        <v>8</v>
      </c>
      <c r="U8" s="4" t="n">
        <f aca="false">IFERROR(ROUND(Q8*S8,0),"")</f>
        <v>75</v>
      </c>
      <c r="V8" s="15" t="s">
        <v>51</v>
      </c>
      <c r="W8" s="4" t="n">
        <f aca="false">ROUND(Methodology!$B$11*IF(V8="VERY HIGH",1.3,IF(V8="HIGH",1.18,1.08)),0)</f>
        <v>410</v>
      </c>
      <c r="X8" s="4" t="n">
        <f aca="false">ROUND(Methodology!$B$11*IF(V8="VERY HIGH",1.45,IF(V8="HIGH",1.3,1.15)),0)</f>
        <v>437</v>
      </c>
      <c r="Y8" s="4" t="s">
        <v>34</v>
      </c>
      <c r="Z8" s="5"/>
      <c r="AA8" s="4" t="str">
        <f aca="false">TEXT(B8,"yyyy-mm")</f>
        <v>2026-10</v>
      </c>
    </row>
    <row r="9" customFormat="false" ht="30" hidden="false" customHeight="true" outlineLevel="0" collapsed="false">
      <c r="A9" s="9" t="s">
        <v>64</v>
      </c>
      <c r="B9" s="10" t="n">
        <v>46301</v>
      </c>
      <c r="C9" s="10" t="n">
        <v>46303</v>
      </c>
      <c r="D9" s="9" t="s">
        <v>29</v>
      </c>
      <c r="E9" s="9" t="s">
        <v>29</v>
      </c>
      <c r="F9" s="9" t="s">
        <v>65</v>
      </c>
      <c r="G9" s="11" t="n">
        <v>85291</v>
      </c>
      <c r="H9" s="11" t="n">
        <v>1966</v>
      </c>
      <c r="I9" s="12" t="s">
        <v>66</v>
      </c>
      <c r="J9" s="12" t="s">
        <v>67</v>
      </c>
      <c r="K9" s="13" t="n">
        <v>0.25</v>
      </c>
      <c r="L9" s="13" t="n">
        <v>0.4</v>
      </c>
      <c r="M9" s="11" t="n">
        <v>2</v>
      </c>
      <c r="N9" s="11" t="n">
        <v>3</v>
      </c>
      <c r="O9" s="11" t="n">
        <v>1.4</v>
      </c>
      <c r="P9" s="11" t="n">
        <f aca="false">IFERROR(ROUND(G9*K9*M9/O9,0),"")</f>
        <v>30461</v>
      </c>
      <c r="Q9" s="11" t="n">
        <f aca="false">IFERROR(ROUND(G9*L9*N9/O9,0),"")</f>
        <v>73107</v>
      </c>
      <c r="R9" s="14" t="n">
        <v>0.002</v>
      </c>
      <c r="S9" s="14" t="n">
        <v>0.007</v>
      </c>
      <c r="T9" s="11" t="n">
        <f aca="false">IFERROR(ROUND(P9*R9,0),"")</f>
        <v>61</v>
      </c>
      <c r="U9" s="11" t="n">
        <f aca="false">IFERROR(ROUND(Q9*S9,0),"")</f>
        <v>512</v>
      </c>
      <c r="V9" s="8" t="s">
        <v>33</v>
      </c>
      <c r="W9" s="11" t="n">
        <f aca="false">ROUND(Methodology!$B$11*IF(V9="VERY HIGH",1.3,IF(V9="HIGH",1.18,1.08)),0)</f>
        <v>448</v>
      </c>
      <c r="X9" s="11" t="n">
        <f aca="false">ROUND(Methodology!$B$11*IF(V9="VERY HIGH",1.45,IF(V9="HIGH",1.3,1.15)),0)</f>
        <v>494</v>
      </c>
      <c r="Y9" s="11" t="s">
        <v>34</v>
      </c>
      <c r="Z9" s="12" t="s">
        <v>68</v>
      </c>
      <c r="AA9" s="11" t="str">
        <f aca="false">TEXT(B9,"yyyy-mm")</f>
        <v>2026-10</v>
      </c>
    </row>
    <row r="10" customFormat="false" ht="15" hidden="false" customHeight="false" outlineLevel="0" collapsed="false">
      <c r="A10" s="2" t="s">
        <v>69</v>
      </c>
      <c r="B10" s="3" t="n">
        <v>46307</v>
      </c>
      <c r="C10" s="3" t="n">
        <v>46309</v>
      </c>
      <c r="D10" s="2" t="s">
        <v>29</v>
      </c>
      <c r="E10" s="2" t="s">
        <v>29</v>
      </c>
      <c r="F10" s="2" t="s">
        <v>70</v>
      </c>
      <c r="G10" s="4" t="n">
        <v>20000</v>
      </c>
      <c r="H10" s="4" t="n">
        <v>300</v>
      </c>
      <c r="I10" s="5" t="s">
        <v>63</v>
      </c>
      <c r="J10" s="5" t="s">
        <v>39</v>
      </c>
      <c r="K10" s="6" t="n">
        <v>0.2</v>
      </c>
      <c r="L10" s="6" t="n">
        <v>0.35</v>
      </c>
      <c r="M10" s="4" t="n">
        <v>1.8</v>
      </c>
      <c r="N10" s="4" t="n">
        <v>2.5</v>
      </c>
      <c r="O10" s="4" t="n">
        <v>1.4</v>
      </c>
      <c r="P10" s="4" t="n">
        <f aca="false">IFERROR(ROUND(G10*K10*M10/O10,0),"")</f>
        <v>5143</v>
      </c>
      <c r="Q10" s="4" t="n">
        <f aca="false">IFERROR(ROUND(G10*L10*N10/O10,0),"")</f>
        <v>12500</v>
      </c>
      <c r="R10" s="7" t="n">
        <v>0.001</v>
      </c>
      <c r="S10" s="7" t="n">
        <v>0.004</v>
      </c>
      <c r="T10" s="4" t="n">
        <f aca="false">IFERROR(ROUND(P10*R10,0),"")</f>
        <v>5</v>
      </c>
      <c r="U10" s="4" t="n">
        <f aca="false">IFERROR(ROUND(Q10*S10,0),"")</f>
        <v>50</v>
      </c>
      <c r="V10" s="15" t="s">
        <v>51</v>
      </c>
      <c r="W10" s="4" t="n">
        <f aca="false">ROUND(Methodology!$B$11*IF(V10="VERY HIGH",1.3,IF(V10="HIGH",1.18,1.08)),0)</f>
        <v>410</v>
      </c>
      <c r="X10" s="4" t="n">
        <f aca="false">ROUND(Methodology!$B$11*IF(V10="VERY HIGH",1.45,IF(V10="HIGH",1.3,1.15)),0)</f>
        <v>437</v>
      </c>
      <c r="Y10" s="4" t="s">
        <v>34</v>
      </c>
      <c r="Z10" s="5"/>
      <c r="AA10" s="4" t="str">
        <f aca="false">TEXT(B10,"yyyy-mm")</f>
        <v>2026-10</v>
      </c>
    </row>
    <row r="11" customFormat="false" ht="25.35" hidden="false" customHeight="false" outlineLevel="0" collapsed="false">
      <c r="A11" s="9" t="s">
        <v>71</v>
      </c>
      <c r="B11" s="10" t="n">
        <v>46315</v>
      </c>
      <c r="C11" s="10" t="n">
        <v>46317</v>
      </c>
      <c r="D11" s="9" t="s">
        <v>29</v>
      </c>
      <c r="E11" s="9" t="s">
        <v>29</v>
      </c>
      <c r="F11" s="9" t="s">
        <v>72</v>
      </c>
      <c r="G11" s="11" t="n">
        <v>50000</v>
      </c>
      <c r="H11" s="11" t="n">
        <v>3100</v>
      </c>
      <c r="I11" s="12" t="s">
        <v>73</v>
      </c>
      <c r="J11" s="12" t="s">
        <v>74</v>
      </c>
      <c r="K11" s="13" t="n">
        <v>0.2</v>
      </c>
      <c r="L11" s="13" t="n">
        <v>0.35</v>
      </c>
      <c r="M11" s="11" t="n">
        <v>1.8</v>
      </c>
      <c r="N11" s="11" t="n">
        <v>2.5</v>
      </c>
      <c r="O11" s="11" t="n">
        <v>1.4</v>
      </c>
      <c r="P11" s="11" t="n">
        <f aca="false">IFERROR(ROUND(G11*K11*M11/O11,0),"")</f>
        <v>12857</v>
      </c>
      <c r="Q11" s="11" t="n">
        <f aca="false">IFERROR(ROUND(G11*L11*N11/O11,0),"")</f>
        <v>31250</v>
      </c>
      <c r="R11" s="14" t="n">
        <v>0.001</v>
      </c>
      <c r="S11" s="14" t="n">
        <v>0.004</v>
      </c>
      <c r="T11" s="11" t="n">
        <f aca="false">IFERROR(ROUND(P11*R11,0),"")</f>
        <v>13</v>
      </c>
      <c r="U11" s="11" t="n">
        <f aca="false">IFERROR(ROUND(Q11*S11,0),"")</f>
        <v>125</v>
      </c>
      <c r="V11" s="15" t="s">
        <v>51</v>
      </c>
      <c r="W11" s="11" t="n">
        <f aca="false">ROUND(Methodology!$B$11*IF(V11="VERY HIGH",1.3,IF(V11="HIGH",1.18,1.08)),0)</f>
        <v>410</v>
      </c>
      <c r="X11" s="11" t="n">
        <f aca="false">ROUND(Methodology!$B$11*IF(V11="VERY HIGH",1.45,IF(V11="HIGH",1.3,1.15)),0)</f>
        <v>437</v>
      </c>
      <c r="Y11" s="11" t="s">
        <v>34</v>
      </c>
      <c r="Z11" s="12" t="s">
        <v>75</v>
      </c>
      <c r="AA11" s="11" t="str">
        <f aca="false">TEXT(B11,"yyyy-mm")</f>
        <v>2026-10</v>
      </c>
    </row>
    <row r="12" customFormat="false" ht="15" hidden="false" customHeight="false" outlineLevel="0" collapsed="false">
      <c r="A12" s="2" t="s">
        <v>76</v>
      </c>
      <c r="B12" s="3" t="n">
        <v>46317</v>
      </c>
      <c r="C12" s="3" t="n">
        <v>46319</v>
      </c>
      <c r="D12" s="2" t="s">
        <v>47</v>
      </c>
      <c r="E12" s="2" t="s">
        <v>48</v>
      </c>
      <c r="F12" s="2" t="s">
        <v>77</v>
      </c>
      <c r="G12" s="4" t="n">
        <v>12000</v>
      </c>
      <c r="H12" s="4" t="n">
        <v>250</v>
      </c>
      <c r="I12" s="5" t="s">
        <v>78</v>
      </c>
      <c r="J12" s="5" t="s">
        <v>39</v>
      </c>
      <c r="K12" s="6" t="n">
        <v>0.2</v>
      </c>
      <c r="L12" s="6" t="n">
        <v>0.35</v>
      </c>
      <c r="M12" s="4" t="n">
        <v>1.8</v>
      </c>
      <c r="N12" s="4" t="n">
        <v>2.5</v>
      </c>
      <c r="O12" s="4" t="n">
        <v>1.4</v>
      </c>
      <c r="P12" s="4" t="n">
        <f aca="false">IFERROR(ROUND(G12*K12*M12/O12,0),"")</f>
        <v>3086</v>
      </c>
      <c r="Q12" s="4" t="n">
        <f aca="false">IFERROR(ROUND(G12*L12*N12/O12,0),"")</f>
        <v>7500</v>
      </c>
      <c r="R12" s="7" t="n">
        <v>0.002</v>
      </c>
      <c r="S12" s="7" t="n">
        <v>0.008</v>
      </c>
      <c r="T12" s="4" t="n">
        <f aca="false">IFERROR(ROUND(P12*R12,0),"")</f>
        <v>6</v>
      </c>
      <c r="U12" s="4" t="n">
        <f aca="false">IFERROR(ROUND(Q12*S12,0),"")</f>
        <v>60</v>
      </c>
      <c r="V12" s="15" t="s">
        <v>51</v>
      </c>
      <c r="W12" s="4" t="n">
        <f aca="false">ROUND(Methodology!$B$11*IF(V12="VERY HIGH",1.3,IF(V12="HIGH",1.18,1.08)),0)</f>
        <v>410</v>
      </c>
      <c r="X12" s="4" t="n">
        <f aca="false">ROUND(Methodology!$B$11*IF(V12="VERY HIGH",1.45,IF(V12="HIGH",1.3,1.15)),0)</f>
        <v>437</v>
      </c>
      <c r="Y12" s="4" t="s">
        <v>34</v>
      </c>
      <c r="Z12" s="5"/>
      <c r="AA12" s="4" t="str">
        <f aca="false">TEXT(B12,"yyyy-mm")</f>
        <v>2026-10</v>
      </c>
    </row>
    <row r="13" customFormat="false" ht="15" hidden="false" customHeight="false" outlineLevel="0" collapsed="false">
      <c r="A13" s="9" t="s">
        <v>79</v>
      </c>
      <c r="B13" s="10" t="n">
        <v>46322</v>
      </c>
      <c r="C13" s="10" t="n">
        <v>46324</v>
      </c>
      <c r="D13" s="9" t="s">
        <v>47</v>
      </c>
      <c r="E13" s="9" t="s">
        <v>48</v>
      </c>
      <c r="F13" s="9" t="s">
        <v>80</v>
      </c>
      <c r="G13" s="11" t="n">
        <v>10000</v>
      </c>
      <c r="H13" s="11" t="n">
        <v>400</v>
      </c>
      <c r="I13" s="12" t="s">
        <v>63</v>
      </c>
      <c r="J13" s="12" t="s">
        <v>39</v>
      </c>
      <c r="K13" s="13" t="n">
        <v>0.2</v>
      </c>
      <c r="L13" s="13" t="n">
        <v>0.35</v>
      </c>
      <c r="M13" s="11" t="n">
        <v>1.8</v>
      </c>
      <c r="N13" s="11" t="n">
        <v>2.5</v>
      </c>
      <c r="O13" s="11" t="n">
        <v>1.4</v>
      </c>
      <c r="P13" s="11" t="n">
        <f aca="false">IFERROR(ROUND(G13*K13*M13/O13,0),"")</f>
        <v>2571</v>
      </c>
      <c r="Q13" s="11" t="n">
        <f aca="false">IFERROR(ROUND(G13*L13*N13/O13,0),"")</f>
        <v>6250</v>
      </c>
      <c r="R13" s="14" t="n">
        <v>0.002</v>
      </c>
      <c r="S13" s="14" t="n">
        <v>0.008</v>
      </c>
      <c r="T13" s="11" t="n">
        <f aca="false">IFERROR(ROUND(P13*R13,0),"")</f>
        <v>5</v>
      </c>
      <c r="U13" s="11" t="n">
        <f aca="false">IFERROR(ROUND(Q13*S13,0),"")</f>
        <v>50</v>
      </c>
      <c r="V13" s="15" t="s">
        <v>51</v>
      </c>
      <c r="W13" s="11" t="n">
        <f aca="false">ROUND(Methodology!$B$11*IF(V13="VERY HIGH",1.3,IF(V13="HIGH",1.18,1.08)),0)</f>
        <v>410</v>
      </c>
      <c r="X13" s="11" t="n">
        <f aca="false">ROUND(Methodology!$B$11*IF(V13="VERY HIGH",1.45,IF(V13="HIGH",1.3,1.15)),0)</f>
        <v>437</v>
      </c>
      <c r="Y13" s="11" t="s">
        <v>34</v>
      </c>
      <c r="Z13" s="12"/>
      <c r="AA13" s="11" t="str">
        <f aca="false">TEXT(B13,"yyyy-mm")</f>
        <v>2026-10</v>
      </c>
    </row>
    <row r="14" customFormat="false" ht="25.35" hidden="false" customHeight="false" outlineLevel="0" collapsed="false">
      <c r="A14" s="2" t="s">
        <v>81</v>
      </c>
      <c r="B14" s="3" t="n">
        <v>46325</v>
      </c>
      <c r="C14" s="3" t="n">
        <v>46327</v>
      </c>
      <c r="D14" s="2" t="s">
        <v>47</v>
      </c>
      <c r="E14" s="2" t="s">
        <v>48</v>
      </c>
      <c r="F14" s="2" t="s">
        <v>82</v>
      </c>
      <c r="G14" s="4" t="n">
        <v>45000</v>
      </c>
      <c r="H14" s="4" t="n">
        <v>450</v>
      </c>
      <c r="I14" s="5" t="s">
        <v>83</v>
      </c>
      <c r="J14" s="5" t="s">
        <v>84</v>
      </c>
      <c r="K14" s="6" t="n">
        <v>0.2</v>
      </c>
      <c r="L14" s="6" t="n">
        <v>0.35</v>
      </c>
      <c r="M14" s="4" t="n">
        <v>1.8</v>
      </c>
      <c r="N14" s="4" t="n">
        <v>2.5</v>
      </c>
      <c r="O14" s="4" t="n">
        <v>1.4</v>
      </c>
      <c r="P14" s="4" t="n">
        <f aca="false">IFERROR(ROUND(G14*K14*M14/O14,0),"")</f>
        <v>11571</v>
      </c>
      <c r="Q14" s="4" t="n">
        <f aca="false">IFERROR(ROUND(G14*L14*N14/O14,0),"")</f>
        <v>28125</v>
      </c>
      <c r="R14" s="7" t="n">
        <v>0.002</v>
      </c>
      <c r="S14" s="7" t="n">
        <v>0.008</v>
      </c>
      <c r="T14" s="4" t="n">
        <f aca="false">IFERROR(ROUND(P14*R14,0),"")</f>
        <v>23</v>
      </c>
      <c r="U14" s="4" t="n">
        <f aca="false">IFERROR(ROUND(Q14*S14,0),"")</f>
        <v>225</v>
      </c>
      <c r="V14" s="8" t="s">
        <v>33</v>
      </c>
      <c r="W14" s="4" t="n">
        <f aca="false">ROUND(Methodology!$B$11*IF(V14="VERY HIGH",1.3,IF(V14="HIGH",1.18,1.08)),0)</f>
        <v>448</v>
      </c>
      <c r="X14" s="4" t="n">
        <f aca="false">ROUND(Methodology!$B$11*IF(V14="VERY HIGH",1.45,IF(V14="HIGH",1.3,1.15)),0)</f>
        <v>494</v>
      </c>
      <c r="Y14" s="4" t="s">
        <v>34</v>
      </c>
      <c r="Z14" s="5"/>
      <c r="AA14" s="4" t="str">
        <f aca="false">TEXT(B14,"yyyy-mm")</f>
        <v>2026-10</v>
      </c>
    </row>
    <row r="15" customFormat="false" ht="37.3" hidden="false" customHeight="false" outlineLevel="0" collapsed="false">
      <c r="A15" s="9" t="s">
        <v>85</v>
      </c>
      <c r="B15" s="10" t="n">
        <v>46329</v>
      </c>
      <c r="C15" s="10" t="n">
        <v>46331</v>
      </c>
      <c r="D15" s="9" t="s">
        <v>29</v>
      </c>
      <c r="E15" s="9" t="s">
        <v>29</v>
      </c>
      <c r="F15" s="9" t="s">
        <v>86</v>
      </c>
      <c r="G15" s="11" t="n">
        <v>61907</v>
      </c>
      <c r="H15" s="11" t="n">
        <v>2500</v>
      </c>
      <c r="I15" s="12" t="s">
        <v>87</v>
      </c>
      <c r="J15" s="12" t="s">
        <v>88</v>
      </c>
      <c r="K15" s="13" t="n">
        <v>0.35</v>
      </c>
      <c r="L15" s="13" t="n">
        <v>0.5</v>
      </c>
      <c r="M15" s="11" t="n">
        <v>2.5</v>
      </c>
      <c r="N15" s="11" t="n">
        <v>3.5</v>
      </c>
      <c r="O15" s="11" t="n">
        <v>1.4</v>
      </c>
      <c r="P15" s="11" t="n">
        <f aca="false">IFERROR(ROUND(G15*K15*M15/O15,0),"")</f>
        <v>38692</v>
      </c>
      <c r="Q15" s="11" t="n">
        <f aca="false">IFERROR(ROUND(G15*L15*N15/O15,0),"")</f>
        <v>77384</v>
      </c>
      <c r="R15" s="14" t="n">
        <v>0.003</v>
      </c>
      <c r="S15" s="14" t="n">
        <v>0.008</v>
      </c>
      <c r="T15" s="11" t="n">
        <f aca="false">IFERROR(ROUND(P15*R15,0),"")</f>
        <v>116</v>
      </c>
      <c r="U15" s="11" t="n">
        <f aca="false">IFERROR(ROUND(Q15*S15,0),"")</f>
        <v>619</v>
      </c>
      <c r="V15" s="8" t="s">
        <v>33</v>
      </c>
      <c r="W15" s="11" t="n">
        <f aca="false">ROUND(Methodology!$B$11*IF(V15="VERY HIGH",1.3,IF(V15="HIGH",1.18,1.08)),0)</f>
        <v>448</v>
      </c>
      <c r="X15" s="11" t="n">
        <f aca="false">ROUND(Methodology!$B$11*IF(V15="VERY HIGH",1.45,IF(V15="HIGH",1.3,1.15)),0)</f>
        <v>494</v>
      </c>
      <c r="Y15" s="11" t="s">
        <v>34</v>
      </c>
      <c r="Z15" s="12"/>
      <c r="AA15" s="11" t="str">
        <f aca="false">TEXT(B15,"yyyy-mm")</f>
        <v>2026-11</v>
      </c>
    </row>
    <row r="16" customFormat="false" ht="25.35" hidden="false" customHeight="false" outlineLevel="0" collapsed="false">
      <c r="A16" s="2" t="s">
        <v>89</v>
      </c>
      <c r="B16" s="3" t="n">
        <v>46336</v>
      </c>
      <c r="C16" s="3" t="n">
        <v>46338</v>
      </c>
      <c r="D16" s="2" t="s">
        <v>47</v>
      </c>
      <c r="E16" s="2" t="s">
        <v>48</v>
      </c>
      <c r="F16" s="2" t="s">
        <v>90</v>
      </c>
      <c r="G16" s="4" t="n">
        <v>50408</v>
      </c>
      <c r="H16" s="4" t="n">
        <v>2273</v>
      </c>
      <c r="I16" s="5" t="s">
        <v>91</v>
      </c>
      <c r="J16" s="5" t="s">
        <v>92</v>
      </c>
      <c r="K16" s="6" t="n">
        <v>0.25</v>
      </c>
      <c r="L16" s="6" t="n">
        <v>0.4</v>
      </c>
      <c r="M16" s="4" t="n">
        <v>2</v>
      </c>
      <c r="N16" s="4" t="n">
        <v>3</v>
      </c>
      <c r="O16" s="4" t="n">
        <v>1.4</v>
      </c>
      <c r="P16" s="4" t="n">
        <f aca="false">IFERROR(ROUND(G16*K16*M16/O16,0),"")</f>
        <v>18003</v>
      </c>
      <c r="Q16" s="4" t="n">
        <f aca="false">IFERROR(ROUND(G16*L16*N16/O16,0),"")</f>
        <v>43207</v>
      </c>
      <c r="R16" s="7" t="n">
        <v>0.002</v>
      </c>
      <c r="S16" s="7" t="n">
        <v>0.007</v>
      </c>
      <c r="T16" s="4" t="n">
        <f aca="false">IFERROR(ROUND(P16*R16,0),"")</f>
        <v>36</v>
      </c>
      <c r="U16" s="4" t="n">
        <f aca="false">IFERROR(ROUND(Q16*S16,0),"")</f>
        <v>302</v>
      </c>
      <c r="V16" s="8" t="s">
        <v>33</v>
      </c>
      <c r="W16" s="4" t="n">
        <f aca="false">ROUND(Methodology!$B$11*IF(V16="VERY HIGH",1.3,IF(V16="HIGH",1.18,1.08)),0)</f>
        <v>448</v>
      </c>
      <c r="X16" s="4" t="n">
        <f aca="false">ROUND(Methodology!$B$11*IF(V16="VERY HIGH",1.45,IF(V16="HIGH",1.3,1.15)),0)</f>
        <v>494</v>
      </c>
      <c r="Y16" s="4" t="s">
        <v>34</v>
      </c>
      <c r="Z16" s="5" t="s">
        <v>93</v>
      </c>
      <c r="AA16" s="4" t="str">
        <f aca="false">TEXT(B16,"yyyy-mm")</f>
        <v>2026-11</v>
      </c>
    </row>
    <row r="17" customFormat="false" ht="37.3" hidden="false" customHeight="false" outlineLevel="0" collapsed="false">
      <c r="A17" s="9" t="s">
        <v>94</v>
      </c>
      <c r="B17" s="10" t="n">
        <v>46349</v>
      </c>
      <c r="C17" s="10" t="n">
        <v>46352</v>
      </c>
      <c r="D17" s="9" t="s">
        <v>29</v>
      </c>
      <c r="E17" s="9" t="s">
        <v>29</v>
      </c>
      <c r="F17" s="9" t="s">
        <v>95</v>
      </c>
      <c r="G17" s="11" t="n">
        <v>85000</v>
      </c>
      <c r="H17" s="11" t="n">
        <v>2500</v>
      </c>
      <c r="I17" s="12" t="s">
        <v>96</v>
      </c>
      <c r="J17" s="12" t="s">
        <v>97</v>
      </c>
      <c r="K17" s="13" t="n">
        <v>0.25</v>
      </c>
      <c r="L17" s="13" t="n">
        <v>0.4</v>
      </c>
      <c r="M17" s="11" t="n">
        <v>2</v>
      </c>
      <c r="N17" s="11" t="n">
        <v>3</v>
      </c>
      <c r="O17" s="11" t="n">
        <v>1.4</v>
      </c>
      <c r="P17" s="11" t="n">
        <f aca="false">IFERROR(ROUND(G17*K17*M17/O17,0),"")</f>
        <v>30357</v>
      </c>
      <c r="Q17" s="11" t="n">
        <f aca="false">IFERROR(ROUND(G17*L17*N17/O17,0),"")</f>
        <v>72857</v>
      </c>
      <c r="R17" s="14" t="n">
        <v>0.002</v>
      </c>
      <c r="S17" s="14" t="n">
        <v>0.007</v>
      </c>
      <c r="T17" s="11" t="n">
        <f aca="false">IFERROR(ROUND(P17*R17,0),"")</f>
        <v>61</v>
      </c>
      <c r="U17" s="11" t="n">
        <f aca="false">IFERROR(ROUND(Q17*S17,0),"")</f>
        <v>510</v>
      </c>
      <c r="V17" s="8" t="s">
        <v>33</v>
      </c>
      <c r="W17" s="11" t="n">
        <f aca="false">ROUND(Methodology!$B$11*IF(V17="VERY HIGH",1.3,IF(V17="HIGH",1.18,1.08)),0)</f>
        <v>448</v>
      </c>
      <c r="X17" s="11" t="n">
        <f aca="false">ROUND(Methodology!$B$11*IF(V17="VERY HIGH",1.45,IF(V17="HIGH",1.3,1.15)),0)</f>
        <v>494</v>
      </c>
      <c r="Y17" s="11" t="s">
        <v>34</v>
      </c>
      <c r="Z17" s="12" t="s">
        <v>98</v>
      </c>
      <c r="AA17" s="11" t="str">
        <f aca="false">TEXT(B17,"yyyy-mm")</f>
        <v>2026-11</v>
      </c>
    </row>
    <row r="18" customFormat="false" ht="30" hidden="false" customHeight="true" outlineLevel="0" collapsed="false">
      <c r="A18" s="2" t="s">
        <v>99</v>
      </c>
      <c r="B18" s="3" t="n">
        <v>46363</v>
      </c>
      <c r="C18" s="3" t="n">
        <v>46367</v>
      </c>
      <c r="D18" s="2" t="s">
        <v>47</v>
      </c>
      <c r="E18" s="2" t="s">
        <v>48</v>
      </c>
      <c r="F18" s="2" t="s">
        <v>100</v>
      </c>
      <c r="G18" s="4" t="n">
        <v>200000</v>
      </c>
      <c r="H18" s="4" t="n">
        <v>6800</v>
      </c>
      <c r="I18" s="5" t="s">
        <v>101</v>
      </c>
      <c r="J18" s="5" t="s">
        <v>102</v>
      </c>
      <c r="K18" s="6" t="n">
        <v>0.25</v>
      </c>
      <c r="L18" s="6" t="n">
        <v>0.4</v>
      </c>
      <c r="M18" s="4" t="n">
        <v>2</v>
      </c>
      <c r="N18" s="4" t="n">
        <v>3</v>
      </c>
      <c r="O18" s="4" t="n">
        <v>1.4</v>
      </c>
      <c r="P18" s="4" t="n">
        <f aca="false">IFERROR(ROUND(G18*K18*M18/O18,0),"")</f>
        <v>71429</v>
      </c>
      <c r="Q18" s="4" t="n">
        <f aca="false">IFERROR(ROUND(G18*L18*N18/O18,0),"")</f>
        <v>171429</v>
      </c>
      <c r="R18" s="7" t="n">
        <v>0.002</v>
      </c>
      <c r="S18" s="7" t="n">
        <v>0.006</v>
      </c>
      <c r="T18" s="4" t="n">
        <f aca="false">IFERROR(ROUND(P18*R18,0),"")</f>
        <v>143</v>
      </c>
      <c r="U18" s="4" t="n">
        <f aca="false">IFERROR(ROUND(Q18*S18,0),"")</f>
        <v>1029</v>
      </c>
      <c r="V18" s="16" t="s">
        <v>103</v>
      </c>
      <c r="W18" s="4" t="n">
        <f aca="false">ROUND(Methodology!$B$11*IF(V18="VERY HIGH",1.3,IF(V18="HIGH",1.18,1.08)),0)</f>
        <v>494</v>
      </c>
      <c r="X18" s="4" t="n">
        <f aca="false">ROUND(Methodology!$B$11*IF(V18="VERY HIGH",1.45,IF(V18="HIGH",1.3,1.15)),0)</f>
        <v>551</v>
      </c>
      <c r="Y18" s="4" t="s">
        <v>34</v>
      </c>
      <c r="Z18" s="5" t="s">
        <v>104</v>
      </c>
      <c r="AA18" s="4" t="str">
        <f aca="false">TEXT(B18,"yyyy-mm")</f>
        <v>2026-12</v>
      </c>
    </row>
    <row r="19" customFormat="false" ht="37.3" hidden="false" customHeight="false" outlineLevel="0" collapsed="false">
      <c r="A19" s="9" t="s">
        <v>105</v>
      </c>
      <c r="B19" s="10" t="n">
        <v>46399</v>
      </c>
      <c r="C19" s="10" t="n">
        <v>46401</v>
      </c>
      <c r="D19" s="9" t="s">
        <v>29</v>
      </c>
      <c r="E19" s="9" t="s">
        <v>29</v>
      </c>
      <c r="F19" s="9" t="s">
        <v>106</v>
      </c>
      <c r="G19" s="11" t="n">
        <v>44764</v>
      </c>
      <c r="H19" s="11" t="n">
        <v>1180</v>
      </c>
      <c r="I19" s="12" t="s">
        <v>107</v>
      </c>
      <c r="J19" s="12" t="s">
        <v>108</v>
      </c>
      <c r="K19" s="13" t="n">
        <v>0.2</v>
      </c>
      <c r="L19" s="13" t="n">
        <v>0.35</v>
      </c>
      <c r="M19" s="11" t="n">
        <v>1.8</v>
      </c>
      <c r="N19" s="11" t="n">
        <v>2.5</v>
      </c>
      <c r="O19" s="11" t="n">
        <v>1.4</v>
      </c>
      <c r="P19" s="11" t="n">
        <f aca="false">IFERROR(ROUND(G19*K19*M19/O19,0),"")</f>
        <v>11511</v>
      </c>
      <c r="Q19" s="11" t="n">
        <f aca="false">IFERROR(ROUND(G19*L19*N19/O19,0),"")</f>
        <v>27978</v>
      </c>
      <c r="R19" s="14" t="n">
        <v>0.001</v>
      </c>
      <c r="S19" s="14" t="n">
        <v>0.004</v>
      </c>
      <c r="T19" s="11" t="n">
        <f aca="false">IFERROR(ROUND(P19*R19,0),"")</f>
        <v>12</v>
      </c>
      <c r="U19" s="11" t="n">
        <f aca="false">IFERROR(ROUND(Q19*S19,0),"")</f>
        <v>112</v>
      </c>
      <c r="V19" s="15" t="s">
        <v>51</v>
      </c>
      <c r="W19" s="11" t="n">
        <f aca="false">ROUND(Methodology!$B$11*IF(V19="VERY HIGH",1.3,IF(V19="HIGH",1.18,1.08)),0)</f>
        <v>410</v>
      </c>
      <c r="X19" s="11" t="n">
        <f aca="false">ROUND(Methodology!$B$11*IF(V19="VERY HIGH",1.45,IF(V19="HIGH",1.3,1.15)),0)</f>
        <v>437</v>
      </c>
      <c r="Y19" s="11" t="s">
        <v>34</v>
      </c>
      <c r="Z19" s="12" t="s">
        <v>109</v>
      </c>
      <c r="AA19" s="11" t="str">
        <f aca="false">TEXT(B19,"yyyy-mm")</f>
        <v>2027-01</v>
      </c>
    </row>
    <row r="20" customFormat="false" ht="49.25" hidden="false" customHeight="false" outlineLevel="0" collapsed="false">
      <c r="A20" s="2" t="s">
        <v>110</v>
      </c>
      <c r="B20" s="3" t="n">
        <v>46412</v>
      </c>
      <c r="C20" s="3" t="n">
        <v>46415</v>
      </c>
      <c r="D20" s="2" t="s">
        <v>47</v>
      </c>
      <c r="E20" s="2" t="s">
        <v>48</v>
      </c>
      <c r="F20" s="2" t="s">
        <v>37</v>
      </c>
      <c r="G20" s="4" t="n">
        <v>235000</v>
      </c>
      <c r="H20" s="4" t="n">
        <v>4300</v>
      </c>
      <c r="I20" s="5" t="s">
        <v>111</v>
      </c>
      <c r="J20" s="5" t="s">
        <v>112</v>
      </c>
      <c r="K20" s="6" t="n">
        <v>0.25</v>
      </c>
      <c r="L20" s="6" t="n">
        <v>0.4</v>
      </c>
      <c r="M20" s="4" t="n">
        <v>2</v>
      </c>
      <c r="N20" s="4" t="n">
        <v>3</v>
      </c>
      <c r="O20" s="4" t="n">
        <v>1.4</v>
      </c>
      <c r="P20" s="4" t="n">
        <f aca="false">IFERROR(ROUND(G20*K20*M20/O20,0),"")</f>
        <v>83929</v>
      </c>
      <c r="Q20" s="4" t="n">
        <f aca="false">IFERROR(ROUND(G20*L20*N20/O20,0),"")</f>
        <v>201429</v>
      </c>
      <c r="R20" s="7" t="n">
        <v>0.002</v>
      </c>
      <c r="S20" s="7" t="n">
        <v>0.006</v>
      </c>
      <c r="T20" s="4" t="n">
        <f aca="false">IFERROR(ROUND(P20*R20,0),"")</f>
        <v>168</v>
      </c>
      <c r="U20" s="4" t="n">
        <f aca="false">IFERROR(ROUND(Q20*S20,0),"")</f>
        <v>1209</v>
      </c>
      <c r="V20" s="16" t="s">
        <v>103</v>
      </c>
      <c r="W20" s="4" t="n">
        <f aca="false">ROUND(Methodology!$B$11*IF(V20="VERY HIGH",1.3,IF(V20="HIGH",1.18,1.08)),0)</f>
        <v>494</v>
      </c>
      <c r="X20" s="4" t="n">
        <f aca="false">ROUND(Methodology!$B$11*IF(V20="VERY HIGH",1.45,IF(V20="HIGH",1.3,1.15)),0)</f>
        <v>551</v>
      </c>
      <c r="Y20" s="4" t="s">
        <v>34</v>
      </c>
      <c r="Z20" s="5" t="s">
        <v>113</v>
      </c>
      <c r="AA20" s="4" t="str">
        <f aca="false">TEXT(B20,"yyyy-mm")</f>
        <v>2027-01</v>
      </c>
    </row>
    <row r="21" customFormat="false" ht="25.35" hidden="false" customHeight="false" outlineLevel="0" collapsed="false">
      <c r="A21" s="9" t="s">
        <v>114</v>
      </c>
      <c r="B21" s="10" t="n">
        <v>46413</v>
      </c>
      <c r="C21" s="10" t="n">
        <v>46416</v>
      </c>
      <c r="D21" s="9" t="s">
        <v>29</v>
      </c>
      <c r="E21" s="9" t="s">
        <v>29</v>
      </c>
      <c r="F21" s="9" t="s">
        <v>115</v>
      </c>
      <c r="G21" s="11" t="n">
        <v>25000</v>
      </c>
      <c r="H21" s="11" t="n">
        <v>1200</v>
      </c>
      <c r="I21" s="12" t="s">
        <v>116</v>
      </c>
      <c r="J21" s="12" t="s">
        <v>39</v>
      </c>
      <c r="K21" s="13" t="n">
        <v>0.2</v>
      </c>
      <c r="L21" s="13" t="n">
        <v>0.35</v>
      </c>
      <c r="M21" s="11" t="n">
        <v>1.8</v>
      </c>
      <c r="N21" s="11" t="n">
        <v>2.5</v>
      </c>
      <c r="O21" s="11" t="n">
        <v>1.4</v>
      </c>
      <c r="P21" s="11" t="n">
        <f aca="false">IFERROR(ROUND(G21*K21*M21/O21,0),"")</f>
        <v>6429</v>
      </c>
      <c r="Q21" s="11" t="n">
        <f aca="false">IFERROR(ROUND(G21*L21*N21/O21,0),"")</f>
        <v>15625</v>
      </c>
      <c r="R21" s="14" t="n">
        <v>0.001</v>
      </c>
      <c r="S21" s="14" t="n">
        <v>0.004</v>
      </c>
      <c r="T21" s="11" t="n">
        <f aca="false">IFERROR(ROUND(P21*R21,0),"")</f>
        <v>6</v>
      </c>
      <c r="U21" s="11" t="n">
        <f aca="false">IFERROR(ROUND(Q21*S21,0),"")</f>
        <v>63</v>
      </c>
      <c r="V21" s="15" t="s">
        <v>51</v>
      </c>
      <c r="W21" s="11" t="n">
        <f aca="false">ROUND(Methodology!$B$11*IF(V21="VERY HIGH",1.3,IF(V21="HIGH",1.18,1.08)),0)</f>
        <v>410</v>
      </c>
      <c r="X21" s="11" t="n">
        <f aca="false">ROUND(Methodology!$B$11*IF(V21="VERY HIGH",1.45,IF(V21="HIGH",1.3,1.15)),0)</f>
        <v>437</v>
      </c>
      <c r="Y21" s="11" t="s">
        <v>34</v>
      </c>
      <c r="Z21" s="12"/>
      <c r="AA21" s="11" t="str">
        <f aca="false">TEXT(B21,"yyyy-mm")</f>
        <v>2027-01</v>
      </c>
    </row>
    <row r="22" customFormat="false" ht="49.25" hidden="false" customHeight="false" outlineLevel="0" collapsed="false">
      <c r="A22" s="2" t="s">
        <v>117</v>
      </c>
      <c r="B22" s="3" t="n">
        <v>46461</v>
      </c>
      <c r="C22" s="3" t="n">
        <v>46465</v>
      </c>
      <c r="D22" s="2" t="s">
        <v>118</v>
      </c>
      <c r="E22" s="2" t="s">
        <v>119</v>
      </c>
      <c r="F22" s="2" t="s">
        <v>120</v>
      </c>
      <c r="G22" s="4" t="n">
        <v>300000</v>
      </c>
      <c r="H22" s="4" t="n">
        <v>8500</v>
      </c>
      <c r="I22" s="5" t="s">
        <v>121</v>
      </c>
      <c r="J22" s="5" t="s">
        <v>122</v>
      </c>
      <c r="K22" s="6" t="n">
        <v>0.35</v>
      </c>
      <c r="L22" s="6" t="n">
        <v>0.5</v>
      </c>
      <c r="M22" s="4" t="n">
        <v>2.5</v>
      </c>
      <c r="N22" s="4" t="n">
        <v>3.5</v>
      </c>
      <c r="O22" s="4" t="n">
        <v>1.4</v>
      </c>
      <c r="P22" s="4" t="n">
        <f aca="false">IFERROR(ROUND(G22*K22*M22/O22,0),"")</f>
        <v>187500</v>
      </c>
      <c r="Q22" s="4" t="n">
        <f aca="false">IFERROR(ROUND(G22*L22*N22/O22,0),"")</f>
        <v>375000</v>
      </c>
      <c r="R22" s="7" t="n">
        <v>0.003</v>
      </c>
      <c r="S22" s="7" t="n">
        <v>0.008</v>
      </c>
      <c r="T22" s="4" t="n">
        <f aca="false">IFERROR(ROUND(P22*R22,0),"")</f>
        <v>563</v>
      </c>
      <c r="U22" s="4" t="n">
        <f aca="false">IFERROR(ROUND(Q22*S22,0),"")</f>
        <v>3000</v>
      </c>
      <c r="V22" s="16" t="s">
        <v>103</v>
      </c>
      <c r="W22" s="4" t="n">
        <f aca="false">ROUND(Methodology!$B$11*IF(V22="VERY HIGH",1.3,IF(V22="HIGH",1.18,1.08)),0)</f>
        <v>494</v>
      </c>
      <c r="X22" s="4" t="n">
        <f aca="false">ROUND(Methodology!$B$11*IF(V22="VERY HIGH",1.45,IF(V22="HIGH",1.3,1.15)),0)</f>
        <v>551</v>
      </c>
      <c r="Y22" s="4" t="s">
        <v>34</v>
      </c>
      <c r="Z22" s="5" t="s">
        <v>123</v>
      </c>
      <c r="AA22" s="4" t="str">
        <f aca="false">TEXT(B22,"yyyy-mm")</f>
        <v>2027-03</v>
      </c>
    </row>
    <row r="23" customFormat="false" ht="25.35" hidden="false" customHeight="false" outlineLevel="0" collapsed="false">
      <c r="A23" s="9" t="s">
        <v>124</v>
      </c>
      <c r="B23" s="10" t="n">
        <v>46508</v>
      </c>
      <c r="C23" s="10" t="n">
        <v>46538</v>
      </c>
      <c r="D23" s="9" t="s">
        <v>125</v>
      </c>
      <c r="E23" s="9" t="s">
        <v>29</v>
      </c>
      <c r="F23" s="9" t="s">
        <v>126</v>
      </c>
      <c r="G23" s="11"/>
      <c r="H23" s="11"/>
      <c r="I23" s="12" t="s">
        <v>63</v>
      </c>
      <c r="J23" s="12" t="s">
        <v>127</v>
      </c>
      <c r="K23" s="13" t="n">
        <v>0.2</v>
      </c>
      <c r="L23" s="13" t="n">
        <v>0.35</v>
      </c>
      <c r="M23" s="11" t="n">
        <v>1.8</v>
      </c>
      <c r="N23" s="11" t="n">
        <v>2.5</v>
      </c>
      <c r="O23" s="11" t="n">
        <v>1.4</v>
      </c>
      <c r="P23" s="11"/>
      <c r="Q23" s="11"/>
      <c r="R23" s="14" t="n">
        <v>0.001</v>
      </c>
      <c r="S23" s="14" t="n">
        <v>0.004</v>
      </c>
      <c r="T23" s="11" t="n">
        <f aca="false">IFERROR(ROUND(P23*R23,0),"")</f>
        <v>0</v>
      </c>
      <c r="U23" s="11" t="n">
        <f aca="false">IFERROR(ROUND(Q23*S23,0),"")</f>
        <v>0</v>
      </c>
      <c r="V23" s="15" t="s">
        <v>51</v>
      </c>
      <c r="W23" s="11" t="n">
        <f aca="false">ROUND(Methodology!$B$11*IF(V23="VERY HIGH",1.3,IF(V23="HIGH",1.18,1.08)),0)</f>
        <v>410</v>
      </c>
      <c r="X23" s="11" t="n">
        <f aca="false">ROUND(Methodology!$B$11*IF(V23="VERY HIGH",1.45,IF(V23="HIGH",1.3,1.15)),0)</f>
        <v>437</v>
      </c>
      <c r="Y23" s="11" t="s">
        <v>56</v>
      </c>
      <c r="Z23" s="12"/>
      <c r="AA23" s="11" t="str">
        <f aca="false">TEXT(B23,"yyyy-mm")</f>
        <v>2027-05</v>
      </c>
    </row>
    <row r="24" customFormat="false" ht="25.35" hidden="false" customHeight="false" outlineLevel="0" collapsed="false">
      <c r="A24" s="2" t="s">
        <v>128</v>
      </c>
      <c r="B24" s="3" t="n">
        <v>46661</v>
      </c>
      <c r="C24" s="3" t="n">
        <v>46691</v>
      </c>
      <c r="D24" s="2" t="s">
        <v>125</v>
      </c>
      <c r="E24" s="2" t="s">
        <v>29</v>
      </c>
      <c r="F24" s="2" t="s">
        <v>65</v>
      </c>
      <c r="G24" s="4" t="n">
        <v>85291</v>
      </c>
      <c r="H24" s="4" t="n">
        <v>1966</v>
      </c>
      <c r="I24" s="5" t="s">
        <v>129</v>
      </c>
      <c r="J24" s="5" t="s">
        <v>130</v>
      </c>
      <c r="K24" s="6" t="n">
        <v>0.25</v>
      </c>
      <c r="L24" s="6" t="n">
        <v>0.4</v>
      </c>
      <c r="M24" s="4" t="n">
        <v>2</v>
      </c>
      <c r="N24" s="4" t="n">
        <v>3</v>
      </c>
      <c r="O24" s="4" t="n">
        <v>1.4</v>
      </c>
      <c r="P24" s="4" t="n">
        <f aca="false">IFERROR(ROUND(G24*K24*M24/O24,0),"")</f>
        <v>30461</v>
      </c>
      <c r="Q24" s="4" t="n">
        <f aca="false">IFERROR(ROUND(G24*L24*N24/O24,0),"")</f>
        <v>73107</v>
      </c>
      <c r="R24" s="7" t="n">
        <v>0.002</v>
      </c>
      <c r="S24" s="7" t="n">
        <v>0.007</v>
      </c>
      <c r="T24" s="4" t="n">
        <f aca="false">IFERROR(ROUND(P24*R24,0),"")</f>
        <v>61</v>
      </c>
      <c r="U24" s="4" t="n">
        <f aca="false">IFERROR(ROUND(Q24*S24,0),"")</f>
        <v>512</v>
      </c>
      <c r="V24" s="8" t="s">
        <v>33</v>
      </c>
      <c r="W24" s="4" t="n">
        <f aca="false">ROUND(Methodology!$B$11*IF(V24="VERY HIGH",1.3,IF(V24="HIGH",1.18,1.08)),0)</f>
        <v>448</v>
      </c>
      <c r="X24" s="4" t="n">
        <f aca="false">ROUND(Methodology!$B$11*IF(V24="VERY HIGH",1.45,IF(V24="HIGH",1.3,1.15)),0)</f>
        <v>494</v>
      </c>
      <c r="Y24" s="4" t="s">
        <v>56</v>
      </c>
      <c r="Z24" s="5" t="s">
        <v>131</v>
      </c>
      <c r="AA24" s="4" t="str">
        <f aca="false">TEXT(B24,"yyyy-mm")</f>
        <v>2027-10</v>
      </c>
    </row>
    <row r="25" customFormat="false" ht="25.35" hidden="false" customHeight="false" outlineLevel="0" collapsed="false">
      <c r="A25" s="9" t="s">
        <v>71</v>
      </c>
      <c r="B25" s="10" t="n">
        <v>46661</v>
      </c>
      <c r="C25" s="10" t="n">
        <v>46691</v>
      </c>
      <c r="D25" s="9" t="s">
        <v>125</v>
      </c>
      <c r="E25" s="9" t="s">
        <v>29</v>
      </c>
      <c r="F25" s="9" t="s">
        <v>72</v>
      </c>
      <c r="G25" s="11" t="n">
        <v>50000</v>
      </c>
      <c r="H25" s="11" t="n">
        <v>3100</v>
      </c>
      <c r="I25" s="12" t="s">
        <v>132</v>
      </c>
      <c r="J25" s="12" t="s">
        <v>133</v>
      </c>
      <c r="K25" s="13" t="n">
        <v>0.2</v>
      </c>
      <c r="L25" s="13" t="n">
        <v>0.35</v>
      </c>
      <c r="M25" s="11" t="n">
        <v>1.8</v>
      </c>
      <c r="N25" s="11" t="n">
        <v>2.5</v>
      </c>
      <c r="O25" s="11" t="n">
        <v>1.4</v>
      </c>
      <c r="P25" s="11" t="n">
        <f aca="false">IFERROR(ROUND(G25*K25*M25/O25,0),"")</f>
        <v>12857</v>
      </c>
      <c r="Q25" s="11" t="n">
        <f aca="false">IFERROR(ROUND(G25*L25*N25/O25,0),"")</f>
        <v>31250</v>
      </c>
      <c r="R25" s="14" t="n">
        <v>0.001</v>
      </c>
      <c r="S25" s="14" t="n">
        <v>0.004</v>
      </c>
      <c r="T25" s="11" t="n">
        <f aca="false">IFERROR(ROUND(P25*R25,0),"")</f>
        <v>13</v>
      </c>
      <c r="U25" s="11" t="n">
        <f aca="false">IFERROR(ROUND(Q25*S25,0),"")</f>
        <v>125</v>
      </c>
      <c r="V25" s="15" t="s">
        <v>51</v>
      </c>
      <c r="W25" s="11" t="n">
        <f aca="false">ROUND(Methodology!$B$11*IF(V25="VERY HIGH",1.3,IF(V25="HIGH",1.18,1.08)),0)</f>
        <v>410</v>
      </c>
      <c r="X25" s="11" t="n">
        <f aca="false">ROUND(Methodology!$B$11*IF(V25="VERY HIGH",1.45,IF(V25="HIGH",1.3,1.15)),0)</f>
        <v>437</v>
      </c>
      <c r="Y25" s="11" t="s">
        <v>56</v>
      </c>
      <c r="Z25" s="12" t="s">
        <v>134</v>
      </c>
      <c r="AA25" s="11" t="str">
        <f aca="false">TEXT(B25,"yyyy-mm")</f>
        <v>2027-10</v>
      </c>
    </row>
    <row r="26" customFormat="false" ht="25.35" hidden="false" customHeight="false" outlineLevel="0" collapsed="false">
      <c r="A26" s="2" t="s">
        <v>94</v>
      </c>
      <c r="B26" s="3" t="n">
        <v>46692</v>
      </c>
      <c r="C26" s="3" t="n">
        <v>46721</v>
      </c>
      <c r="D26" s="2" t="s">
        <v>125</v>
      </c>
      <c r="E26" s="2" t="s">
        <v>29</v>
      </c>
      <c r="F26" s="2" t="s">
        <v>95</v>
      </c>
      <c r="G26" s="4" t="n">
        <v>85000</v>
      </c>
      <c r="H26" s="4" t="n">
        <v>2500</v>
      </c>
      <c r="I26" s="5" t="s">
        <v>135</v>
      </c>
      <c r="J26" s="5" t="s">
        <v>136</v>
      </c>
      <c r="K26" s="6" t="n">
        <v>0.25</v>
      </c>
      <c r="L26" s="6" t="n">
        <v>0.4</v>
      </c>
      <c r="M26" s="4" t="n">
        <v>2</v>
      </c>
      <c r="N26" s="4" t="n">
        <v>3</v>
      </c>
      <c r="O26" s="4" t="n">
        <v>1.4</v>
      </c>
      <c r="P26" s="4" t="n">
        <f aca="false">IFERROR(ROUND(G26*K26*M26/O26,0),"")</f>
        <v>30357</v>
      </c>
      <c r="Q26" s="4" t="n">
        <f aca="false">IFERROR(ROUND(G26*L26*N26/O26,0),"")</f>
        <v>72857</v>
      </c>
      <c r="R26" s="7" t="n">
        <v>0.002</v>
      </c>
      <c r="S26" s="7" t="n">
        <v>0.007</v>
      </c>
      <c r="T26" s="4" t="n">
        <f aca="false">IFERROR(ROUND(P26*R26,0),"")</f>
        <v>61</v>
      </c>
      <c r="U26" s="4" t="n">
        <f aca="false">IFERROR(ROUND(Q26*S26,0),"")</f>
        <v>510</v>
      </c>
      <c r="V26" s="8" t="s">
        <v>33</v>
      </c>
      <c r="W26" s="4" t="n">
        <f aca="false">ROUND(Methodology!$B$11*IF(V26="VERY HIGH",1.3,IF(V26="HIGH",1.18,1.08)),0)</f>
        <v>448</v>
      </c>
      <c r="X26" s="4" t="n">
        <f aca="false">ROUND(Methodology!$B$11*IF(V26="VERY HIGH",1.45,IF(V26="HIGH",1.3,1.15)),0)</f>
        <v>494</v>
      </c>
      <c r="Y26" s="4" t="s">
        <v>56</v>
      </c>
      <c r="Z26" s="5" t="s">
        <v>137</v>
      </c>
      <c r="AA26" s="4" t="str">
        <f aca="false">TEXT(B26,"yyyy-mm")</f>
        <v>2027-11</v>
      </c>
    </row>
    <row r="27" customFormat="false" ht="37.3" hidden="false" customHeight="false" outlineLevel="0" collapsed="false">
      <c r="A27" s="9" t="s">
        <v>138</v>
      </c>
      <c r="B27" s="10" t="n">
        <v>46706</v>
      </c>
      <c r="C27" s="10" t="n">
        <v>46710</v>
      </c>
      <c r="D27" s="9" t="s">
        <v>139</v>
      </c>
      <c r="E27" s="9" t="s">
        <v>140</v>
      </c>
      <c r="F27" s="9" t="s">
        <v>141</v>
      </c>
      <c r="G27" s="11" t="n">
        <v>248788</v>
      </c>
      <c r="H27" s="11" t="n">
        <v>1500</v>
      </c>
      <c r="I27" s="12" t="s">
        <v>142</v>
      </c>
      <c r="J27" s="12" t="s">
        <v>143</v>
      </c>
      <c r="K27" s="13" t="n">
        <v>0.35</v>
      </c>
      <c r="L27" s="13" t="n">
        <v>0.45</v>
      </c>
      <c r="M27" s="11" t="n">
        <v>2.5</v>
      </c>
      <c r="N27" s="11" t="n">
        <v>3.5</v>
      </c>
      <c r="O27" s="11" t="n">
        <v>1.4</v>
      </c>
      <c r="P27" s="11" t="n">
        <f aca="false">IFERROR(ROUND(G27*K27*M27/O27,0),"")</f>
        <v>155493</v>
      </c>
      <c r="Q27" s="11" t="n">
        <f aca="false">IFERROR(ROUND(G27*L27*N27/O27,0),"")</f>
        <v>279887</v>
      </c>
      <c r="R27" s="14" t="n">
        <v>0.005</v>
      </c>
      <c r="S27" s="14" t="n">
        <v>0.01</v>
      </c>
      <c r="T27" s="11" t="n">
        <f aca="false">IFERROR(ROUND(P27*R27,0),"")</f>
        <v>777</v>
      </c>
      <c r="U27" s="11" t="n">
        <f aca="false">IFERROR(ROUND(Q27*S27,0),"")</f>
        <v>2799</v>
      </c>
      <c r="V27" s="16" t="s">
        <v>103</v>
      </c>
      <c r="W27" s="11" t="n">
        <f aca="false">ROUND(Methodology!$B$11*IF(V27="VERY HIGH",1.3,IF(V27="HIGH",1.18,1.08)),0)</f>
        <v>494</v>
      </c>
      <c r="X27" s="11" t="n">
        <f aca="false">ROUND(Methodology!$B$11*IF(V27="VERY HIGH",1.45,IF(V27="HIGH",1.3,1.15)),0)</f>
        <v>551</v>
      </c>
      <c r="Y27" s="11" t="s">
        <v>34</v>
      </c>
      <c r="Z27" s="12" t="s">
        <v>144</v>
      </c>
      <c r="AA27" s="11" t="str">
        <f aca="false">TEXT(B27,"yyyy-mm")</f>
        <v>2027-11</v>
      </c>
    </row>
    <row r="28" customFormat="false" ht="25.35" hidden="false" customHeight="false" outlineLevel="0" collapsed="false">
      <c r="A28" s="2" t="s">
        <v>89</v>
      </c>
      <c r="B28" s="3" t="n">
        <v>46692</v>
      </c>
      <c r="C28" s="3" t="n">
        <v>46721</v>
      </c>
      <c r="D28" s="2" t="s">
        <v>145</v>
      </c>
      <c r="E28" s="2" t="s">
        <v>48</v>
      </c>
      <c r="F28" s="2" t="s">
        <v>90</v>
      </c>
      <c r="G28" s="4" t="n">
        <v>50408</v>
      </c>
      <c r="H28" s="4" t="n">
        <v>2273</v>
      </c>
      <c r="I28" s="5" t="s">
        <v>146</v>
      </c>
      <c r="J28" s="5" t="s">
        <v>130</v>
      </c>
      <c r="K28" s="6" t="n">
        <v>0.25</v>
      </c>
      <c r="L28" s="6" t="n">
        <v>0.4</v>
      </c>
      <c r="M28" s="4" t="n">
        <v>2</v>
      </c>
      <c r="N28" s="4" t="n">
        <v>3</v>
      </c>
      <c r="O28" s="4" t="n">
        <v>1.4</v>
      </c>
      <c r="P28" s="4" t="n">
        <f aca="false">IFERROR(ROUND(G28*K28*M28/O28,0),"")</f>
        <v>18003</v>
      </c>
      <c r="Q28" s="4" t="n">
        <f aca="false">IFERROR(ROUND(G28*L28*N28/O28,0),"")</f>
        <v>43207</v>
      </c>
      <c r="R28" s="7" t="n">
        <v>0.002</v>
      </c>
      <c r="S28" s="7" t="n">
        <v>0.007</v>
      </c>
      <c r="T28" s="4" t="n">
        <f aca="false">IFERROR(ROUND(P28*R28,0),"")</f>
        <v>36</v>
      </c>
      <c r="U28" s="4" t="n">
        <f aca="false">IFERROR(ROUND(Q28*S28,0),"")</f>
        <v>302</v>
      </c>
      <c r="V28" s="8" t="s">
        <v>33</v>
      </c>
      <c r="W28" s="4" t="n">
        <f aca="false">ROUND(Methodology!$B$11*IF(V28="VERY HIGH",1.3,IF(V28="HIGH",1.18,1.08)),0)</f>
        <v>448</v>
      </c>
      <c r="X28" s="4" t="n">
        <f aca="false">ROUND(Methodology!$B$11*IF(V28="VERY HIGH",1.45,IF(V28="HIGH",1.3,1.15)),0)</f>
        <v>494</v>
      </c>
      <c r="Y28" s="4" t="s">
        <v>56</v>
      </c>
      <c r="Z28" s="5"/>
      <c r="AA28" s="4" t="str">
        <f aca="false">TEXT(B28,"yyyy-mm")</f>
        <v>2027-11</v>
      </c>
    </row>
    <row r="29" customFormat="false" ht="25.35" hidden="false" customHeight="false" outlineLevel="0" collapsed="false">
      <c r="A29" s="9" t="s">
        <v>99</v>
      </c>
      <c r="B29" s="10" t="n">
        <v>46722</v>
      </c>
      <c r="C29" s="10" t="n">
        <v>46752</v>
      </c>
      <c r="D29" s="9" t="s">
        <v>145</v>
      </c>
      <c r="E29" s="9" t="s">
        <v>48</v>
      </c>
      <c r="F29" s="9" t="s">
        <v>100</v>
      </c>
      <c r="G29" s="11" t="n">
        <v>200000</v>
      </c>
      <c r="H29" s="11" t="n">
        <v>6800</v>
      </c>
      <c r="I29" s="12" t="s">
        <v>147</v>
      </c>
      <c r="J29" s="12" t="s">
        <v>133</v>
      </c>
      <c r="K29" s="13" t="n">
        <v>0.25</v>
      </c>
      <c r="L29" s="13" t="n">
        <v>0.4</v>
      </c>
      <c r="M29" s="11" t="n">
        <v>2</v>
      </c>
      <c r="N29" s="11" t="n">
        <v>3</v>
      </c>
      <c r="O29" s="11" t="n">
        <v>1.4</v>
      </c>
      <c r="P29" s="11" t="n">
        <f aca="false">IFERROR(ROUND(G29*K29*M29/O29,0),"")</f>
        <v>71429</v>
      </c>
      <c r="Q29" s="11" t="n">
        <f aca="false">IFERROR(ROUND(G29*L29*N29/O29,0),"")</f>
        <v>171429</v>
      </c>
      <c r="R29" s="14" t="n">
        <v>0.002</v>
      </c>
      <c r="S29" s="14" t="n">
        <v>0.006</v>
      </c>
      <c r="T29" s="11" t="n">
        <f aca="false">IFERROR(ROUND(P29*R29,0),"")</f>
        <v>143</v>
      </c>
      <c r="U29" s="11" t="n">
        <f aca="false">IFERROR(ROUND(Q29*S29,0),"")</f>
        <v>1029</v>
      </c>
      <c r="V29" s="16" t="s">
        <v>103</v>
      </c>
      <c r="W29" s="11" t="n">
        <f aca="false">ROUND(Methodology!$B$11*IF(V29="VERY HIGH",1.3,IF(V29="HIGH",1.18,1.08)),0)</f>
        <v>494</v>
      </c>
      <c r="X29" s="11" t="n">
        <f aca="false">ROUND(Methodology!$B$11*IF(V29="VERY HIGH",1.45,IF(V29="HIGH",1.3,1.15)),0)</f>
        <v>551</v>
      </c>
      <c r="Y29" s="11" t="s">
        <v>56</v>
      </c>
      <c r="Z29" s="12" t="s">
        <v>148</v>
      </c>
      <c r="AA29" s="11" t="str">
        <f aca="false">TEXT(B29,"yyyy-mm")</f>
        <v>2027-12</v>
      </c>
    </row>
  </sheetData>
  <autoFilter ref="A1:AA29"/>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32" activeCellId="0" sqref="D32"/>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6" min="3" style="0" width="15"/>
    <col collapsed="false" customWidth="true" hidden="false" outlineLevel="0" max="7" min="7" style="0" width="42"/>
    <col collapsed="false" customWidth="true" hidden="false" outlineLevel="0" max="8" min="8" style="0" width="55"/>
  </cols>
  <sheetData>
    <row r="1" customFormat="false" ht="30" hidden="false" customHeight="true" outlineLevel="0" collapsed="false">
      <c r="A1" s="1" t="s">
        <v>149</v>
      </c>
      <c r="B1" s="1" t="s">
        <v>150</v>
      </c>
      <c r="C1" s="1" t="s">
        <v>15</v>
      </c>
      <c r="D1" s="1" t="s">
        <v>16</v>
      </c>
      <c r="E1" s="1" t="s">
        <v>19</v>
      </c>
      <c r="F1" s="1" t="s">
        <v>20</v>
      </c>
      <c r="G1" s="1" t="s">
        <v>151</v>
      </c>
      <c r="H1" s="1" t="s">
        <v>152</v>
      </c>
    </row>
    <row r="2" customFormat="false" ht="37.3" hidden="false" customHeight="false" outlineLevel="0" collapsed="false">
      <c r="A2" s="2" t="s">
        <v>153</v>
      </c>
      <c r="B2" s="4" t="n">
        <f aca="false">COUNTIF('Event Calendar'!$AA$2:$AA$29,A2)</f>
        <v>6</v>
      </c>
      <c r="C2" s="4" t="n">
        <f aca="false">SUMIF('Event Calendar'!$AA$2:$AA$29,A2,'Event Calendar'!$P$2:$P$29)</f>
        <v>83036</v>
      </c>
      <c r="D2" s="4" t="n">
        <f aca="false">SUMIF('Event Calendar'!$AA$2:$AA$29,A2,'Event Calendar'!$Q$2:$Q$29)</f>
        <v>172411</v>
      </c>
      <c r="E2" s="4" t="n">
        <f aca="false">SUMIF('Event Calendar'!$AA$2:$AA$29,A2,'Event Calendar'!$T$2:$T$29)</f>
        <v>149</v>
      </c>
      <c r="F2" s="4" t="n">
        <f aca="false">SUMIF('Event Calendar'!$AA$2:$AA$29,A2,'Event Calendar'!$U$2:$U$29)</f>
        <v>1107</v>
      </c>
      <c r="G2" s="5" t="s">
        <v>154</v>
      </c>
      <c r="H2" s="5" t="s">
        <v>155</v>
      </c>
    </row>
    <row r="3" customFormat="false" ht="30" hidden="false" customHeight="true" outlineLevel="0" collapsed="false">
      <c r="A3" s="9" t="s">
        <v>156</v>
      </c>
      <c r="B3" s="11" t="n">
        <f aca="false">COUNTIF('Event Calendar'!$AA$2:$AA$29,A3)</f>
        <v>7</v>
      </c>
      <c r="C3" s="11" t="n">
        <f aca="false">SUMIF('Event Calendar'!$AA$2:$AA$29,A3,'Event Calendar'!$P$2:$P$29)</f>
        <v>69546</v>
      </c>
      <c r="D3" s="11" t="n">
        <f aca="false">SUMIF('Event Calendar'!$AA$2:$AA$29,A3,'Event Calendar'!$Q$2:$Q$29)</f>
        <v>168107</v>
      </c>
      <c r="E3" s="11" t="n">
        <f aca="false">SUMIF('Event Calendar'!$AA$2:$AA$29,A3,'Event Calendar'!$T$2:$T$29)</f>
        <v>121</v>
      </c>
      <c r="F3" s="11" t="n">
        <f aca="false">SUMIF('Event Calendar'!$AA$2:$AA$29,A3,'Event Calendar'!$U$2:$U$29)</f>
        <v>1097</v>
      </c>
      <c r="G3" s="12" t="s">
        <v>157</v>
      </c>
      <c r="H3" s="12" t="s">
        <v>158</v>
      </c>
    </row>
    <row r="4" customFormat="false" ht="25.35" hidden="false" customHeight="false" outlineLevel="0" collapsed="false">
      <c r="A4" s="2" t="s">
        <v>159</v>
      </c>
      <c r="B4" s="4" t="n">
        <f aca="false">COUNTIF('Event Calendar'!$AA$2:$AA$29,A4)</f>
        <v>3</v>
      </c>
      <c r="C4" s="4" t="n">
        <f aca="false">SUMIF('Event Calendar'!$AA$2:$AA$29,A4,'Event Calendar'!$P$2:$P$29)</f>
        <v>87052</v>
      </c>
      <c r="D4" s="4" t="n">
        <f aca="false">SUMIF('Event Calendar'!$AA$2:$AA$29,A4,'Event Calendar'!$Q$2:$Q$29)</f>
        <v>193448</v>
      </c>
      <c r="E4" s="4" t="n">
        <f aca="false">SUMIF('Event Calendar'!$AA$2:$AA$29,A4,'Event Calendar'!$T$2:$T$29)</f>
        <v>213</v>
      </c>
      <c r="F4" s="4" t="n">
        <f aca="false">SUMIF('Event Calendar'!$AA$2:$AA$29,A4,'Event Calendar'!$U$2:$U$29)</f>
        <v>1431</v>
      </c>
      <c r="G4" s="5" t="s">
        <v>160</v>
      </c>
      <c r="H4" s="5" t="s">
        <v>161</v>
      </c>
    </row>
    <row r="5" customFormat="false" ht="25.35" hidden="false" customHeight="false" outlineLevel="0" collapsed="false">
      <c r="A5" s="9" t="s">
        <v>162</v>
      </c>
      <c r="B5" s="11" t="n">
        <f aca="false">COUNTIF('Event Calendar'!$AA$2:$AA$29,A5)</f>
        <v>1</v>
      </c>
      <c r="C5" s="11" t="n">
        <f aca="false">SUMIF('Event Calendar'!$AA$2:$AA$29,A5,'Event Calendar'!$P$2:$P$29)</f>
        <v>71429</v>
      </c>
      <c r="D5" s="11" t="n">
        <f aca="false">SUMIF('Event Calendar'!$AA$2:$AA$29,A5,'Event Calendar'!$Q$2:$Q$29)</f>
        <v>171429</v>
      </c>
      <c r="E5" s="11" t="n">
        <f aca="false">SUMIF('Event Calendar'!$AA$2:$AA$29,A5,'Event Calendar'!$T$2:$T$29)</f>
        <v>143</v>
      </c>
      <c r="F5" s="11" t="n">
        <f aca="false">SUMIF('Event Calendar'!$AA$2:$AA$29,A5,'Event Calendar'!$U$2:$U$29)</f>
        <v>1029</v>
      </c>
      <c r="G5" s="12" t="s">
        <v>163</v>
      </c>
      <c r="H5" s="12" t="s">
        <v>164</v>
      </c>
    </row>
    <row r="6" customFormat="false" ht="25.35" hidden="false" customHeight="false" outlineLevel="0" collapsed="false">
      <c r="A6" s="2" t="s">
        <v>165</v>
      </c>
      <c r="B6" s="4" t="n">
        <f aca="false">COUNTIF('Event Calendar'!$AA$2:$AA$29,A6)</f>
        <v>3</v>
      </c>
      <c r="C6" s="4" t="n">
        <f aca="false">SUMIF('Event Calendar'!$AA$2:$AA$29,A6,'Event Calendar'!$P$2:$P$29)</f>
        <v>101869</v>
      </c>
      <c r="D6" s="4" t="n">
        <f aca="false">SUMIF('Event Calendar'!$AA$2:$AA$29,A6,'Event Calendar'!$Q$2:$Q$29)</f>
        <v>245032</v>
      </c>
      <c r="E6" s="4" t="n">
        <f aca="false">SUMIF('Event Calendar'!$AA$2:$AA$29,A6,'Event Calendar'!$T$2:$T$29)</f>
        <v>186</v>
      </c>
      <c r="F6" s="4" t="n">
        <f aca="false">SUMIF('Event Calendar'!$AA$2:$AA$29,A6,'Event Calendar'!$U$2:$U$29)</f>
        <v>1384</v>
      </c>
      <c r="G6" s="5" t="s">
        <v>166</v>
      </c>
      <c r="H6" s="5" t="s">
        <v>167</v>
      </c>
    </row>
    <row r="7" customFormat="false" ht="37.3" hidden="false" customHeight="false" outlineLevel="0" collapsed="false">
      <c r="A7" s="9" t="s">
        <v>168</v>
      </c>
      <c r="B7" s="11" t="n">
        <f aca="false">COUNTIF('Event Calendar'!$AA$2:$AA$29,A7)</f>
        <v>1</v>
      </c>
      <c r="C7" s="11" t="n">
        <f aca="false">SUMIF('Event Calendar'!$AA$2:$AA$29,A7,'Event Calendar'!$P$2:$P$29)</f>
        <v>187500</v>
      </c>
      <c r="D7" s="11" t="n">
        <f aca="false">SUMIF('Event Calendar'!$AA$2:$AA$29,A7,'Event Calendar'!$Q$2:$Q$29)</f>
        <v>375000</v>
      </c>
      <c r="E7" s="11" t="n">
        <f aca="false">SUMIF('Event Calendar'!$AA$2:$AA$29,A7,'Event Calendar'!$T$2:$T$29)</f>
        <v>563</v>
      </c>
      <c r="F7" s="11" t="n">
        <f aca="false">SUMIF('Event Calendar'!$AA$2:$AA$29,A7,'Event Calendar'!$U$2:$U$29)</f>
        <v>3000</v>
      </c>
      <c r="G7" s="12" t="s">
        <v>169</v>
      </c>
      <c r="H7" s="12" t="s">
        <v>170</v>
      </c>
    </row>
    <row r="8" customFormat="false" ht="25.35" hidden="false" customHeight="false" outlineLevel="0" collapsed="false">
      <c r="A8" s="2" t="s">
        <v>171</v>
      </c>
      <c r="B8" s="4" t="n">
        <f aca="false">COUNTIF('Event Calendar'!$AA$2:$AA$29,A8)</f>
        <v>1</v>
      </c>
      <c r="C8" s="4" t="n">
        <f aca="false">SUMIF('Event Calendar'!$AA$2:$AA$29,A8,'Event Calendar'!$P$2:$P$29)</f>
        <v>0</v>
      </c>
      <c r="D8" s="4" t="n">
        <f aca="false">SUMIF('Event Calendar'!$AA$2:$AA$29,A8,'Event Calendar'!$Q$2:$Q$29)</f>
        <v>0</v>
      </c>
      <c r="E8" s="4" t="n">
        <f aca="false">SUMIF('Event Calendar'!$AA$2:$AA$29,A8,'Event Calendar'!$T$2:$T$29)</f>
        <v>0</v>
      </c>
      <c r="F8" s="4" t="n">
        <f aca="false">SUMIF('Event Calendar'!$AA$2:$AA$29,A8,'Event Calendar'!$U$2:$U$29)</f>
        <v>0</v>
      </c>
      <c r="G8" s="5"/>
      <c r="H8" s="5" t="s">
        <v>172</v>
      </c>
    </row>
    <row r="9" customFormat="false" ht="25.35" hidden="false" customHeight="false" outlineLevel="0" collapsed="false">
      <c r="A9" s="9" t="s">
        <v>173</v>
      </c>
      <c r="B9" s="11" t="n">
        <f aca="false">COUNTIF('Event Calendar'!$AA$2:$AA$29,A9)</f>
        <v>2</v>
      </c>
      <c r="C9" s="11" t="n">
        <f aca="false">SUMIF('Event Calendar'!$AA$2:$AA$29,A9,'Event Calendar'!$P$2:$P$29)</f>
        <v>43318</v>
      </c>
      <c r="D9" s="11" t="n">
        <f aca="false">SUMIF('Event Calendar'!$AA$2:$AA$29,A9,'Event Calendar'!$Q$2:$Q$29)</f>
        <v>104357</v>
      </c>
      <c r="E9" s="11" t="n">
        <f aca="false">SUMIF('Event Calendar'!$AA$2:$AA$29,A9,'Event Calendar'!$T$2:$T$29)</f>
        <v>74</v>
      </c>
      <c r="F9" s="11" t="n">
        <f aca="false">SUMIF('Event Calendar'!$AA$2:$AA$29,A9,'Event Calendar'!$U$2:$U$29)</f>
        <v>637</v>
      </c>
      <c r="G9" s="12" t="s">
        <v>128</v>
      </c>
      <c r="H9" s="12" t="s">
        <v>174</v>
      </c>
    </row>
    <row r="10" customFormat="false" ht="30" hidden="false" customHeight="true" outlineLevel="0" collapsed="false">
      <c r="A10" s="2" t="s">
        <v>175</v>
      </c>
      <c r="B10" s="4" t="n">
        <f aca="false">COUNTIF('Event Calendar'!$AA$2:$AA$29,A10)</f>
        <v>3</v>
      </c>
      <c r="C10" s="4" t="n">
        <f aca="false">SUMIF('Event Calendar'!$AA$2:$AA$29,A10,'Event Calendar'!$P$2:$P$29)</f>
        <v>203853</v>
      </c>
      <c r="D10" s="4" t="n">
        <f aca="false">SUMIF('Event Calendar'!$AA$2:$AA$29,A10,'Event Calendar'!$Q$2:$Q$29)</f>
        <v>395951</v>
      </c>
      <c r="E10" s="4" t="n">
        <f aca="false">SUMIF('Event Calendar'!$AA$2:$AA$29,A10,'Event Calendar'!$T$2:$T$29)</f>
        <v>874</v>
      </c>
      <c r="F10" s="4" t="n">
        <f aca="false">SUMIF('Event Calendar'!$AA$2:$AA$29,A10,'Event Calendar'!$U$2:$U$29)</f>
        <v>3611</v>
      </c>
      <c r="G10" s="5" t="s">
        <v>176</v>
      </c>
      <c r="H10" s="5" t="s">
        <v>177</v>
      </c>
    </row>
    <row r="11" customFormat="false" ht="15" hidden="false" customHeight="false" outlineLevel="0" collapsed="false">
      <c r="A11" s="9" t="s">
        <v>178</v>
      </c>
      <c r="B11" s="11" t="n">
        <f aca="false">COUNTIF('Event Calendar'!$AA$2:$AA$29,A11)</f>
        <v>1</v>
      </c>
      <c r="C11" s="11" t="n">
        <f aca="false">SUMIF('Event Calendar'!$AA$2:$AA$29,A11,'Event Calendar'!$P$2:$P$29)</f>
        <v>71429</v>
      </c>
      <c r="D11" s="11" t="n">
        <f aca="false">SUMIF('Event Calendar'!$AA$2:$AA$29,A11,'Event Calendar'!$Q$2:$Q$29)</f>
        <v>171429</v>
      </c>
      <c r="E11" s="11" t="n">
        <f aca="false">SUMIF('Event Calendar'!$AA$2:$AA$29,A11,'Event Calendar'!$T$2:$T$29)</f>
        <v>143</v>
      </c>
      <c r="F11" s="11" t="n">
        <f aca="false">SUMIF('Event Calendar'!$AA$2:$AA$29,A11,'Event Calendar'!$U$2:$U$29)</f>
        <v>1029</v>
      </c>
      <c r="G11" s="12" t="s">
        <v>99</v>
      </c>
      <c r="H11" s="12" t="s">
        <v>179</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7" t="s">
        <v>180</v>
      </c>
      <c r="B1" s="18" t="s">
        <v>181</v>
      </c>
    </row>
    <row r="2" customFormat="false" ht="30" hidden="false" customHeight="true" outlineLevel="0" collapsed="false">
      <c r="A2" s="18" t="s">
        <v>182</v>
      </c>
      <c r="B2" s="18" t="s">
        <v>183</v>
      </c>
    </row>
    <row r="3" customFormat="false" ht="30" hidden="false" customHeight="true" outlineLevel="0" collapsed="false">
      <c r="A3" s="18" t="s">
        <v>184</v>
      </c>
      <c r="B3" s="18" t="s">
        <v>185</v>
      </c>
    </row>
    <row r="4" customFormat="false" ht="15" hidden="false" customHeight="false" outlineLevel="0" collapsed="false">
      <c r="A4" s="18" t="s">
        <v>186</v>
      </c>
      <c r="B4" s="18" t="s">
        <v>187</v>
      </c>
    </row>
    <row r="5" customFormat="false" ht="15" hidden="false" customHeight="false" outlineLevel="0" collapsed="false">
      <c r="A5" s="18" t="s">
        <v>188</v>
      </c>
      <c r="B5" s="18" t="s">
        <v>189</v>
      </c>
    </row>
    <row r="6" customFormat="false" ht="15" hidden="false" customHeight="false" outlineLevel="0" collapsed="false">
      <c r="A6" s="18" t="s">
        <v>190</v>
      </c>
      <c r="B6" s="18" t="s">
        <v>191</v>
      </c>
    </row>
    <row r="7" customFormat="false" ht="15" hidden="false" customHeight="false" outlineLevel="0" collapsed="false">
      <c r="A7" s="18" t="s">
        <v>192</v>
      </c>
      <c r="B7" s="18" t="s">
        <v>193</v>
      </c>
    </row>
    <row r="8" customFormat="false" ht="30" hidden="false" customHeight="true" outlineLevel="0" collapsed="false">
      <c r="A8" s="18" t="s">
        <v>194</v>
      </c>
      <c r="B8" s="18" t="s">
        <v>195</v>
      </c>
    </row>
    <row r="9" customFormat="false" ht="30" hidden="false" customHeight="true" outlineLevel="0" collapsed="false">
      <c r="A9" s="18" t="s">
        <v>196</v>
      </c>
      <c r="B9" s="18" t="s">
        <v>197</v>
      </c>
    </row>
    <row r="10" customFormat="false" ht="30" hidden="false" customHeight="true" outlineLevel="0" collapsed="false">
      <c r="A10" s="18" t="s">
        <v>198</v>
      </c>
      <c r="B10" s="18" t="s">
        <v>199</v>
      </c>
    </row>
    <row r="11" customFormat="false" ht="28.35" hidden="false" customHeight="false" outlineLevel="0" collapsed="false">
      <c r="A11" s="17" t="s">
        <v>200</v>
      </c>
      <c r="B11" s="19" t="n">
        <v>380</v>
      </c>
    </row>
    <row r="12" customFormat="false" ht="41.75" hidden="false" customHeight="false" outlineLevel="0" collapsed="false">
      <c r="A12" s="17" t="s">
        <v>201</v>
      </c>
      <c r="B12" s="19" t="s">
        <v>202</v>
      </c>
    </row>
    <row r="13" customFormat="false" ht="41.75" hidden="false" customHeight="false" outlineLevel="0" collapsed="false">
      <c r="A13" s="17" t="s">
        <v>203</v>
      </c>
      <c r="B13" s="19" t="s">
        <v>204</v>
      </c>
    </row>
    <row r="14" customFormat="false" ht="55.2" hidden="false" customHeight="false" outlineLevel="0" collapsed="false">
      <c r="A14" s="17" t="s">
        <v>205</v>
      </c>
      <c r="B14" s="19" t="s">
        <v>206</v>
      </c>
    </row>
    <row r="15" customFormat="false" ht="68.65" hidden="false" customHeight="false" outlineLevel="0" collapsed="false">
      <c r="A15" s="17" t="s">
        <v>207</v>
      </c>
      <c r="B15" s="19" t="s">
        <v>208</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46"/>
  </cols>
  <sheetData>
    <row r="1" customFormat="false" ht="15" hidden="false" customHeight="false" outlineLevel="0" collapsed="false">
      <c r="A1" s="17" t="s">
        <v>209</v>
      </c>
      <c r="B1" s="17" t="s">
        <v>210</v>
      </c>
      <c r="C1" s="17" t="s">
        <v>180</v>
      </c>
    </row>
    <row r="2" customFormat="false" ht="15" hidden="false" customHeight="false" outlineLevel="0" collapsed="false">
      <c r="A2" s="18" t="s">
        <v>47</v>
      </c>
      <c r="B2" s="18" t="s">
        <v>211</v>
      </c>
      <c r="C2" s="18" t="s">
        <v>212</v>
      </c>
    </row>
    <row r="3" customFormat="false" ht="15" hidden="false" customHeight="false" outlineLevel="0" collapsed="false">
      <c r="A3" s="18" t="s">
        <v>29</v>
      </c>
      <c r="B3" s="18" t="s">
        <v>213</v>
      </c>
      <c r="C3" s="18" t="s">
        <v>214</v>
      </c>
    </row>
    <row r="4" customFormat="false" ht="30" hidden="false" customHeight="true" outlineLevel="0" collapsed="false">
      <c r="A4" s="18" t="s">
        <v>215</v>
      </c>
      <c r="B4" s="18" t="s">
        <v>216</v>
      </c>
      <c r="C4" s="18" t="s">
        <v>217</v>
      </c>
    </row>
    <row r="5" customFormat="false" ht="15" hidden="false" customHeight="false" outlineLevel="0" collapsed="false">
      <c r="A5" s="18" t="s">
        <v>89</v>
      </c>
      <c r="B5" s="18" t="s">
        <v>218</v>
      </c>
      <c r="C5" s="18" t="s">
        <v>219</v>
      </c>
    </row>
    <row r="6" customFormat="false" ht="15" hidden="false" customHeight="false" outlineLevel="0" collapsed="false">
      <c r="A6" s="18" t="s">
        <v>220</v>
      </c>
      <c r="B6" s="18" t="s">
        <v>221</v>
      </c>
      <c r="C6" s="18" t="s">
        <v>222</v>
      </c>
    </row>
    <row r="7" customFormat="false" ht="15" hidden="false" customHeight="false" outlineLevel="0" collapsed="false">
      <c r="A7" s="18" t="s">
        <v>94</v>
      </c>
      <c r="B7" s="18" t="s">
        <v>223</v>
      </c>
      <c r="C7" s="18" t="s">
        <v>224</v>
      </c>
    </row>
    <row r="8" customFormat="false" ht="15" hidden="false" customHeight="false" outlineLevel="0" collapsed="false">
      <c r="A8" s="18" t="s">
        <v>110</v>
      </c>
      <c r="B8" s="18" t="s">
        <v>225</v>
      </c>
      <c r="C8" s="18" t="s">
        <v>226</v>
      </c>
    </row>
    <row r="9" customFormat="false" ht="15" hidden="false" customHeight="false" outlineLevel="0" collapsed="false">
      <c r="A9" s="18" t="s">
        <v>227</v>
      </c>
      <c r="B9" s="18" t="s">
        <v>228</v>
      </c>
      <c r="C9" s="18" t="s">
        <v>229</v>
      </c>
    </row>
    <row r="10" customFormat="false" ht="15" hidden="false" customHeight="false" outlineLevel="0" collapsed="false">
      <c r="A10" s="18" t="s">
        <v>105</v>
      </c>
      <c r="B10" s="18" t="s">
        <v>230</v>
      </c>
      <c r="C10" s="18" t="s">
        <v>231</v>
      </c>
    </row>
    <row r="11" customFormat="false" ht="15" hidden="false" customHeight="false" outlineLevel="0" collapsed="false">
      <c r="A11" s="18" t="s">
        <v>138</v>
      </c>
      <c r="B11" s="18" t="s">
        <v>232</v>
      </c>
      <c r="C11" s="18" t="s">
        <v>233</v>
      </c>
    </row>
    <row r="12" customFormat="false" ht="15" hidden="false" customHeight="false" outlineLevel="0" collapsed="false">
      <c r="A12" s="18" t="s">
        <v>234</v>
      </c>
      <c r="B12" s="18" t="s">
        <v>235</v>
      </c>
      <c r="C12" s="18" t="s">
        <v>236</v>
      </c>
    </row>
    <row r="13" customFormat="false" ht="15" hidden="false" customHeight="false" outlineLevel="0" collapsed="false">
      <c r="A13" s="20" t="s">
        <v>237</v>
      </c>
      <c r="B13" s="20" t="s">
        <v>238</v>
      </c>
      <c r="C13" s="20" t="s">
        <v>239</v>
      </c>
    </row>
    <row r="14" customFormat="false" ht="15" hidden="false" customHeight="false" outlineLevel="0" collapsed="false">
      <c r="A14" s="20" t="s">
        <v>240</v>
      </c>
      <c r="B14" s="20" t="s">
        <v>241</v>
      </c>
      <c r="C14" s="20" t="s">
        <v>242</v>
      </c>
    </row>
    <row r="15" customFormat="false" ht="15" hidden="false" customHeight="false" outlineLevel="0" collapsed="false">
      <c r="A15" s="20" t="s">
        <v>243</v>
      </c>
      <c r="B15" s="20" t="s">
        <v>244</v>
      </c>
      <c r="C15" s="20" t="s">
        <v>245</v>
      </c>
    </row>
    <row r="16" customFormat="false" ht="15" hidden="false" customHeight="false" outlineLevel="0" collapsed="false">
      <c r="A16" s="20" t="s">
        <v>246</v>
      </c>
      <c r="B16" s="20" t="s">
        <v>247</v>
      </c>
      <c r="C16" s="20" t="s">
        <v>248</v>
      </c>
    </row>
    <row r="17" customFormat="false" ht="15" hidden="false" customHeight="false" outlineLevel="0" collapsed="false">
      <c r="A17" s="20" t="s">
        <v>249</v>
      </c>
      <c r="B17" s="20" t="s">
        <v>250</v>
      </c>
      <c r="C17" s="20" t="s">
        <v>251</v>
      </c>
    </row>
    <row r="18" customFormat="false" ht="15" hidden="false" customHeight="false" outlineLevel="0" collapsed="false">
      <c r="A18" s="20" t="s">
        <v>252</v>
      </c>
      <c r="B18" s="20" t="s">
        <v>253</v>
      </c>
      <c r="C18" s="20" t="s">
        <v>254</v>
      </c>
    </row>
    <row r="19" customFormat="false" ht="15" hidden="false" customHeight="false" outlineLevel="0" collapsed="false">
      <c r="A19" s="20" t="s">
        <v>255</v>
      </c>
      <c r="B19" s="20" t="s">
        <v>256</v>
      </c>
      <c r="C19" s="20" t="s">
        <v>257</v>
      </c>
    </row>
    <row r="20" customFormat="false" ht="15" hidden="false" customHeight="false" outlineLevel="0" collapsed="false">
      <c r="A20" s="20" t="s">
        <v>258</v>
      </c>
      <c r="B20" s="20" t="s">
        <v>259</v>
      </c>
      <c r="C20" s="20" t="s">
        <v>260</v>
      </c>
    </row>
    <row r="21" customFormat="false" ht="15" hidden="false" customHeight="false" outlineLevel="0" collapsed="false">
      <c r="A21" s="20" t="s">
        <v>261</v>
      </c>
      <c r="B21" s="20" t="s">
        <v>262</v>
      </c>
      <c r="C21" s="20" t="s">
        <v>263</v>
      </c>
    </row>
    <row r="22" customFormat="false" ht="15" hidden="false" customHeight="false" outlineLevel="0" collapsed="false">
      <c r="A22" s="20" t="s">
        <v>264</v>
      </c>
      <c r="B22" s="20" t="s">
        <v>265</v>
      </c>
      <c r="C22" s="20" t="s">
        <v>266</v>
      </c>
    </row>
    <row r="23" customFormat="false" ht="15" hidden="false" customHeight="false" outlineLevel="0" collapsed="false">
      <c r="A23" s="20" t="s">
        <v>267</v>
      </c>
      <c r="B23" s="20" t="s">
        <v>268</v>
      </c>
      <c r="C23" s="20" t="s">
        <v>269</v>
      </c>
    </row>
    <row r="24" customFormat="false" ht="15" hidden="false" customHeight="false" outlineLevel="0" collapsed="false">
      <c r="A24" s="20" t="s">
        <v>270</v>
      </c>
      <c r="B24" s="20" t="s">
        <v>271</v>
      </c>
      <c r="C24" s="20" t="s">
        <v>272</v>
      </c>
    </row>
    <row r="25" customFormat="false" ht="15" hidden="false" customHeight="false" outlineLevel="0" collapsed="false">
      <c r="A25" s="20" t="s">
        <v>273</v>
      </c>
      <c r="B25" s="20" t="s">
        <v>274</v>
      </c>
      <c r="C25" s="20" t="s">
        <v>275</v>
      </c>
    </row>
    <row r="26" customFormat="false" ht="15" hidden="false" customHeight="false" outlineLevel="0" collapsed="false">
      <c r="A26" s="20" t="s">
        <v>276</v>
      </c>
      <c r="B26" s="20" t="s">
        <v>277</v>
      </c>
      <c r="C26" s="20" t="s">
        <v>278</v>
      </c>
    </row>
    <row r="27" customFormat="false" ht="15" hidden="false" customHeight="false" outlineLevel="0" collapsed="false">
      <c r="A27" s="20" t="s">
        <v>279</v>
      </c>
      <c r="B27" s="20" t="s">
        <v>280</v>
      </c>
      <c r="C27" s="20" t="s">
        <v>281</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6" activeCellId="0" sqref="H6"/>
    </sheetView>
  </sheetViews>
  <sheetFormatPr defaultColWidth="8.5390625" defaultRowHeight="15" zeroHeight="false" outlineLevelRow="0" outlineLevelCol="0"/>
  <cols>
    <col collapsed="false" customWidth="true" hidden="false" outlineLevel="0" max="1" min="1" style="0" width="44.14"/>
    <col collapsed="false" customWidth="true" hidden="false" outlineLevel="0" max="2" min="2" style="0" width="22.71"/>
    <col collapsed="false" customWidth="true" hidden="false" outlineLevel="0" max="3" min="3" style="0" width="12.43"/>
    <col collapsed="false" customWidth="true" hidden="false" outlineLevel="0" max="4" min="4" style="0" width="17.29"/>
    <col collapsed="false" customWidth="true" hidden="false" outlineLevel="0" max="5" min="5" style="0" width="19.43"/>
  </cols>
  <sheetData>
    <row r="1" customFormat="false" ht="15.75" hidden="false" customHeight="true" outlineLevel="0" collapsed="false">
      <c r="A1" s="21" t="n">
        <v>46266</v>
      </c>
    </row>
    <row r="2" customFormat="false" ht="45" hidden="false" customHeight="true" outlineLevel="0" collapsed="false">
      <c r="A2" s="22" t="s">
        <v>282</v>
      </c>
      <c r="B2" s="22"/>
      <c r="C2" s="22"/>
      <c r="D2" s="22"/>
      <c r="E2" s="22"/>
    </row>
    <row r="3" customFormat="false" ht="15.75" hidden="false" customHeight="true" outlineLevel="0" collapsed="false">
      <c r="A3" s="23"/>
    </row>
    <row r="4" customFormat="false" ht="94.5" hidden="false" customHeight="true" outlineLevel="0" collapsed="false">
      <c r="A4" s="23"/>
    </row>
    <row r="5" customFormat="false" ht="204.75" hidden="false" customHeight="true" outlineLevel="0" collapsed="false">
      <c r="A5" s="24" t="s">
        <v>0</v>
      </c>
      <c r="B5" s="24" t="s">
        <v>283</v>
      </c>
      <c r="C5" s="24" t="s">
        <v>3</v>
      </c>
      <c r="D5" s="24" t="s">
        <v>284</v>
      </c>
      <c r="E5" s="24" t="s">
        <v>285</v>
      </c>
    </row>
    <row r="6" customFormat="false" ht="141.75" hidden="false" customHeight="true" outlineLevel="0" collapsed="false">
      <c r="A6" s="24" t="s">
        <v>27</v>
      </c>
      <c r="B6" s="24" t="s">
        <v>286</v>
      </c>
      <c r="C6" s="24" t="s">
        <v>29</v>
      </c>
      <c r="D6" s="24" t="s">
        <v>287</v>
      </c>
      <c r="E6" s="24" t="s">
        <v>288</v>
      </c>
    </row>
    <row r="7" customFormat="false" ht="126" hidden="false" customHeight="true" outlineLevel="0" collapsed="false">
      <c r="A7" s="24" t="s">
        <v>289</v>
      </c>
      <c r="B7" s="24" t="s">
        <v>290</v>
      </c>
      <c r="C7" s="24" t="s">
        <v>291</v>
      </c>
      <c r="D7" s="24" t="s">
        <v>292</v>
      </c>
      <c r="E7" s="24" t="s">
        <v>293</v>
      </c>
    </row>
    <row r="8" customFormat="false" ht="157.5" hidden="false" customHeight="true" outlineLevel="0" collapsed="false">
      <c r="A8" s="24" t="s">
        <v>294</v>
      </c>
      <c r="B8" s="24" t="s">
        <v>295</v>
      </c>
      <c r="C8" s="24" t="s">
        <v>29</v>
      </c>
      <c r="D8" s="24" t="s">
        <v>296</v>
      </c>
      <c r="E8" s="24" t="s">
        <v>297</v>
      </c>
    </row>
    <row r="9" customFormat="false" ht="189" hidden="false" customHeight="true" outlineLevel="0" collapsed="false">
      <c r="A9" s="24" t="s">
        <v>298</v>
      </c>
      <c r="B9" s="24" t="s">
        <v>295</v>
      </c>
      <c r="C9" s="24" t="s">
        <v>29</v>
      </c>
      <c r="D9" s="24" t="s">
        <v>299</v>
      </c>
      <c r="E9" s="24" t="s">
        <v>300</v>
      </c>
    </row>
    <row r="10" customFormat="false" ht="204.75" hidden="false" customHeight="true" outlineLevel="0" collapsed="false">
      <c r="A10" s="24" t="s">
        <v>36</v>
      </c>
      <c r="B10" s="24" t="s">
        <v>301</v>
      </c>
      <c r="C10" s="24" t="s">
        <v>29</v>
      </c>
      <c r="D10" s="24" t="s">
        <v>302</v>
      </c>
      <c r="E10" s="24" t="s">
        <v>303</v>
      </c>
    </row>
    <row r="11" customFormat="false" ht="204.75" hidden="false" customHeight="true" outlineLevel="0" collapsed="false">
      <c r="A11" s="24" t="s">
        <v>304</v>
      </c>
      <c r="B11" s="24" t="s">
        <v>305</v>
      </c>
      <c r="C11" s="24" t="s">
        <v>291</v>
      </c>
      <c r="D11" s="24" t="s">
        <v>306</v>
      </c>
      <c r="E11" s="24" t="s">
        <v>307</v>
      </c>
    </row>
    <row r="12" customFormat="false" ht="204.75" hidden="false" customHeight="true" outlineLevel="0" collapsed="false">
      <c r="A12" s="24" t="s">
        <v>308</v>
      </c>
      <c r="B12" s="24" t="s">
        <v>309</v>
      </c>
      <c r="C12" s="24" t="s">
        <v>29</v>
      </c>
      <c r="D12" s="24" t="s">
        <v>310</v>
      </c>
      <c r="E12" s="24" t="s">
        <v>311</v>
      </c>
    </row>
    <row r="13" customFormat="false" ht="204.75" hidden="false" customHeight="true" outlineLevel="0" collapsed="false">
      <c r="A13" s="24" t="s">
        <v>312</v>
      </c>
      <c r="B13" s="24" t="s">
        <v>313</v>
      </c>
      <c r="C13" s="24" t="s">
        <v>291</v>
      </c>
      <c r="D13" s="24" t="s">
        <v>314</v>
      </c>
      <c r="E13" s="24" t="s">
        <v>315</v>
      </c>
    </row>
    <row r="14" customFormat="false" ht="126" hidden="false" customHeight="true" outlineLevel="0" collapsed="false">
      <c r="A14" s="24" t="s">
        <v>46</v>
      </c>
      <c r="B14" s="24" t="s">
        <v>316</v>
      </c>
      <c r="C14" s="24" t="s">
        <v>317</v>
      </c>
      <c r="D14" s="24" t="s">
        <v>318</v>
      </c>
      <c r="E14" s="24" t="s">
        <v>319</v>
      </c>
    </row>
    <row r="15" customFormat="false" ht="157.5" hidden="false" customHeight="true" outlineLevel="0" collapsed="false">
      <c r="A15" s="24" t="s">
        <v>320</v>
      </c>
      <c r="B15" s="24" t="s">
        <v>321</v>
      </c>
      <c r="C15" s="24" t="s">
        <v>322</v>
      </c>
      <c r="D15" s="24" t="s">
        <v>323</v>
      </c>
      <c r="E15" s="24" t="s">
        <v>324</v>
      </c>
    </row>
    <row r="16" customFormat="false" ht="157.5" hidden="false" customHeight="true" outlineLevel="0" collapsed="false">
      <c r="A16" s="24" t="s">
        <v>325</v>
      </c>
      <c r="B16" s="24" t="s">
        <v>326</v>
      </c>
      <c r="C16" s="24" t="s">
        <v>291</v>
      </c>
      <c r="D16" s="24" t="s">
        <v>327</v>
      </c>
      <c r="E16" s="24" t="s">
        <v>328</v>
      </c>
    </row>
    <row r="17" customFormat="false" ht="157.5" hidden="false" customHeight="true" outlineLevel="0" collapsed="false">
      <c r="A17" s="24" t="s">
        <v>124</v>
      </c>
      <c r="B17" s="24" t="s">
        <v>329</v>
      </c>
      <c r="C17" s="24" t="s">
        <v>291</v>
      </c>
      <c r="D17" s="24" t="s">
        <v>330</v>
      </c>
      <c r="E17" s="24" t="s">
        <v>331</v>
      </c>
    </row>
    <row r="18" customFormat="false" ht="126" hidden="false" customHeight="true" outlineLevel="0" collapsed="false">
      <c r="A18" s="24" t="s">
        <v>332</v>
      </c>
      <c r="B18" s="24" t="s">
        <v>333</v>
      </c>
      <c r="C18" s="24" t="s">
        <v>291</v>
      </c>
      <c r="D18" s="24" t="s">
        <v>334</v>
      </c>
      <c r="E18" s="24" t="s">
        <v>335</v>
      </c>
    </row>
    <row r="19" customFormat="false" ht="141.75" hidden="false" customHeight="true" outlineLevel="0" collapsed="false">
      <c r="A19" s="24" t="s">
        <v>336</v>
      </c>
      <c r="B19" s="24" t="s">
        <v>337</v>
      </c>
      <c r="C19" s="24" t="s">
        <v>291</v>
      </c>
      <c r="D19" s="24" t="s">
        <v>338</v>
      </c>
      <c r="E19" s="24" t="s">
        <v>339</v>
      </c>
    </row>
    <row r="20" customFormat="false" ht="94.5" hidden="false" customHeight="true" outlineLevel="0" collapsed="false">
      <c r="A20" s="24" t="s">
        <v>58</v>
      </c>
      <c r="B20" s="24" t="s">
        <v>337</v>
      </c>
      <c r="C20" s="24" t="s">
        <v>317</v>
      </c>
      <c r="D20" s="24" t="s">
        <v>340</v>
      </c>
      <c r="E20" s="24" t="s">
        <v>341</v>
      </c>
    </row>
    <row r="21" customFormat="false" ht="94.5" hidden="false" customHeight="true" outlineLevel="0" collapsed="false">
      <c r="A21" s="24" t="s">
        <v>342</v>
      </c>
      <c r="B21" s="24" t="s">
        <v>343</v>
      </c>
      <c r="C21" s="24" t="s">
        <v>291</v>
      </c>
      <c r="D21" s="24" t="s">
        <v>344</v>
      </c>
      <c r="E21" s="24" t="s">
        <v>345</v>
      </c>
    </row>
    <row r="22" customFormat="false" ht="44" hidden="false" customHeight="false" outlineLevel="0" collapsed="false">
      <c r="A22" s="24" t="s">
        <v>346</v>
      </c>
      <c r="B22" s="24" t="s">
        <v>347</v>
      </c>
      <c r="C22" s="24" t="s">
        <v>291</v>
      </c>
      <c r="D22" s="24" t="s">
        <v>348</v>
      </c>
      <c r="E22" s="24" t="s">
        <v>349</v>
      </c>
    </row>
    <row r="24" customFormat="false" ht="15.75" hidden="false" customHeight="true" outlineLevel="0" collapsed="false"/>
    <row r="25" customFormat="false" ht="15.75" hidden="false" customHeight="true" outlineLevel="0" collapsed="false">
      <c r="A25" s="21" t="n">
        <v>46296</v>
      </c>
    </row>
    <row r="26" customFormat="false" ht="94.5" hidden="false" customHeight="true" outlineLevel="0" collapsed="false">
      <c r="A26" s="23"/>
    </row>
    <row r="27" customFormat="false" ht="173.25" hidden="false" customHeight="true" outlineLevel="0" collapsed="false">
      <c r="A27" s="24" t="s">
        <v>0</v>
      </c>
      <c r="B27" s="24" t="s">
        <v>283</v>
      </c>
      <c r="C27" s="24" t="s">
        <v>3</v>
      </c>
      <c r="D27" s="24" t="s">
        <v>284</v>
      </c>
      <c r="E27" s="24" t="s">
        <v>285</v>
      </c>
    </row>
    <row r="28" customFormat="false" ht="110.25" hidden="false" customHeight="true" outlineLevel="0" collapsed="false">
      <c r="A28" s="24" t="s">
        <v>350</v>
      </c>
      <c r="B28" s="24" t="s">
        <v>343</v>
      </c>
      <c r="C28" s="24" t="s">
        <v>291</v>
      </c>
      <c r="D28" s="24" t="s">
        <v>351</v>
      </c>
      <c r="E28" s="24" t="s">
        <v>352</v>
      </c>
    </row>
    <row r="29" customFormat="false" ht="189" hidden="false" customHeight="true" outlineLevel="0" collapsed="false">
      <c r="A29" s="24" t="s">
        <v>64</v>
      </c>
      <c r="B29" s="24" t="s">
        <v>353</v>
      </c>
      <c r="C29" s="24" t="s">
        <v>29</v>
      </c>
      <c r="D29" s="24" t="s">
        <v>354</v>
      </c>
      <c r="E29" s="24" t="s">
        <v>355</v>
      </c>
    </row>
    <row r="30" customFormat="false" ht="157.5" hidden="false" customHeight="true" outlineLevel="0" collapsed="false">
      <c r="A30" s="24" t="s">
        <v>356</v>
      </c>
      <c r="B30" s="24" t="s">
        <v>357</v>
      </c>
      <c r="C30" s="24" t="s">
        <v>29</v>
      </c>
      <c r="D30" s="24" t="s">
        <v>358</v>
      </c>
      <c r="E30" s="24" t="s">
        <v>359</v>
      </c>
    </row>
    <row r="31" customFormat="false" ht="141.75" hidden="false" customHeight="true" outlineLevel="0" collapsed="false">
      <c r="A31" s="24" t="s">
        <v>360</v>
      </c>
      <c r="B31" s="24" t="s">
        <v>361</v>
      </c>
      <c r="C31" s="24" t="s">
        <v>29</v>
      </c>
      <c r="D31" s="24" t="s">
        <v>362</v>
      </c>
      <c r="E31" s="24" t="s">
        <v>363</v>
      </c>
    </row>
    <row r="32" customFormat="false" ht="126" hidden="false" customHeight="true" outlineLevel="0" collapsed="false">
      <c r="A32" s="24" t="s">
        <v>71</v>
      </c>
      <c r="B32" s="24" t="s">
        <v>364</v>
      </c>
      <c r="C32" s="24" t="s">
        <v>29</v>
      </c>
      <c r="D32" s="24" t="s">
        <v>365</v>
      </c>
      <c r="E32" s="24" t="s">
        <v>366</v>
      </c>
    </row>
    <row r="33" customFormat="false" ht="126" hidden="false" customHeight="true" outlineLevel="0" collapsed="false">
      <c r="A33" s="24" t="s">
        <v>367</v>
      </c>
      <c r="B33" s="24" t="s">
        <v>368</v>
      </c>
      <c r="C33" s="24" t="s">
        <v>29</v>
      </c>
      <c r="D33" s="24" t="s">
        <v>369</v>
      </c>
      <c r="E33" s="24" t="s">
        <v>370</v>
      </c>
    </row>
    <row r="34" customFormat="false" ht="173.25" hidden="false" customHeight="true" outlineLevel="0" collapsed="false">
      <c r="A34" s="24" t="s">
        <v>371</v>
      </c>
      <c r="B34" s="24" t="s">
        <v>372</v>
      </c>
      <c r="C34" s="24" t="s">
        <v>29</v>
      </c>
      <c r="D34" s="24" t="s">
        <v>373</v>
      </c>
      <c r="E34" s="24" t="s">
        <v>374</v>
      </c>
    </row>
    <row r="35" customFormat="false" ht="44" hidden="false" customHeight="false" outlineLevel="0" collapsed="false">
      <c r="A35" s="24" t="s">
        <v>375</v>
      </c>
      <c r="B35" s="24" t="s">
        <v>376</v>
      </c>
      <c r="C35" s="24" t="s">
        <v>377</v>
      </c>
      <c r="D35" s="24" t="s">
        <v>378</v>
      </c>
      <c r="E35" s="24" t="s">
        <v>379</v>
      </c>
    </row>
    <row r="36" customFormat="false" ht="15.75" hidden="false" customHeight="true" outlineLevel="0" collapsed="false"/>
    <row r="37" customFormat="false" ht="94.5" hidden="false" customHeight="true" outlineLevel="0" collapsed="false">
      <c r="A37" s="21" t="n">
        <v>46327</v>
      </c>
    </row>
    <row r="38" customFormat="false" ht="236.25" hidden="false" customHeight="true" outlineLevel="0" collapsed="false">
      <c r="A38" s="24" t="s">
        <v>0</v>
      </c>
      <c r="B38" s="24" t="s">
        <v>283</v>
      </c>
      <c r="C38" s="24" t="s">
        <v>3</v>
      </c>
      <c r="D38" s="24" t="s">
        <v>284</v>
      </c>
      <c r="E38" s="24" t="s">
        <v>285</v>
      </c>
    </row>
    <row r="39" customFormat="false" ht="94.5" hidden="false" customHeight="true" outlineLevel="0" collapsed="false">
      <c r="A39" s="24" t="s">
        <v>380</v>
      </c>
      <c r="B39" s="24" t="s">
        <v>381</v>
      </c>
      <c r="C39" s="24" t="s">
        <v>382</v>
      </c>
      <c r="D39" s="24" t="s">
        <v>383</v>
      </c>
      <c r="E39" s="24" t="s">
        <v>384</v>
      </c>
    </row>
    <row r="40" customFormat="false" ht="110.25" hidden="false" customHeight="true" outlineLevel="0" collapsed="false">
      <c r="A40" s="24" t="s">
        <v>385</v>
      </c>
      <c r="B40" s="24" t="s">
        <v>386</v>
      </c>
      <c r="C40" s="24" t="s">
        <v>29</v>
      </c>
      <c r="D40" s="24" t="s">
        <v>387</v>
      </c>
      <c r="E40" s="24" t="s">
        <v>363</v>
      </c>
    </row>
    <row r="41" customFormat="false" ht="94.5" hidden="false" customHeight="true" outlineLevel="0" collapsed="false">
      <c r="A41" s="24" t="s">
        <v>85</v>
      </c>
      <c r="B41" s="24" t="s">
        <v>386</v>
      </c>
      <c r="C41" s="24" t="s">
        <v>29</v>
      </c>
      <c r="D41" s="24" t="s">
        <v>388</v>
      </c>
      <c r="E41" s="24" t="s">
        <v>389</v>
      </c>
    </row>
    <row r="42" customFormat="false" ht="94.5" hidden="false" customHeight="true" outlineLevel="0" collapsed="false">
      <c r="A42" s="24" t="s">
        <v>390</v>
      </c>
      <c r="B42" s="24" t="s">
        <v>386</v>
      </c>
      <c r="C42" s="24" t="s">
        <v>29</v>
      </c>
      <c r="D42" s="24" t="s">
        <v>391</v>
      </c>
      <c r="E42" s="24" t="s">
        <v>363</v>
      </c>
    </row>
    <row r="43" customFormat="false" ht="141.75" hidden="false" customHeight="true" outlineLevel="0" collapsed="false">
      <c r="A43" s="24" t="s">
        <v>392</v>
      </c>
      <c r="B43" s="24" t="s">
        <v>386</v>
      </c>
      <c r="C43" s="24" t="s">
        <v>29</v>
      </c>
      <c r="D43" s="24" t="s">
        <v>393</v>
      </c>
      <c r="E43" s="24" t="s">
        <v>370</v>
      </c>
    </row>
    <row r="44" customFormat="false" ht="94.5" hidden="false" customHeight="true" outlineLevel="0" collapsed="false">
      <c r="A44" s="24" t="s">
        <v>89</v>
      </c>
      <c r="B44" s="24" t="s">
        <v>394</v>
      </c>
      <c r="C44" s="24" t="s">
        <v>317</v>
      </c>
      <c r="D44" s="24" t="s">
        <v>395</v>
      </c>
      <c r="E44" s="24" t="s">
        <v>341</v>
      </c>
    </row>
    <row r="45" customFormat="false" ht="94.5" hidden="false" customHeight="true" outlineLevel="0" collapsed="false">
      <c r="A45" s="24" t="s">
        <v>396</v>
      </c>
      <c r="B45" s="24" t="s">
        <v>394</v>
      </c>
      <c r="C45" s="24" t="s">
        <v>29</v>
      </c>
      <c r="D45" s="24" t="s">
        <v>397</v>
      </c>
      <c r="E45" s="24" t="s">
        <v>370</v>
      </c>
    </row>
    <row r="46" customFormat="false" ht="94.5" hidden="false" customHeight="true" outlineLevel="0" collapsed="false">
      <c r="A46" s="24" t="s">
        <v>398</v>
      </c>
      <c r="B46" s="24" t="s">
        <v>394</v>
      </c>
      <c r="C46" s="24" t="s">
        <v>29</v>
      </c>
      <c r="D46" s="24" t="s">
        <v>399</v>
      </c>
      <c r="E46" s="24" t="s">
        <v>374</v>
      </c>
    </row>
    <row r="47" customFormat="false" ht="126" hidden="false" customHeight="true" outlineLevel="0" collapsed="false">
      <c r="A47" s="24" t="s">
        <v>400</v>
      </c>
      <c r="B47" s="24" t="s">
        <v>394</v>
      </c>
      <c r="C47" s="24" t="s">
        <v>29</v>
      </c>
      <c r="D47" s="24" t="s">
        <v>401</v>
      </c>
      <c r="E47" s="24" t="s">
        <v>370</v>
      </c>
    </row>
    <row r="48" customFormat="false" ht="267.75" hidden="false" customHeight="true" outlineLevel="0" collapsed="false">
      <c r="A48" s="24" t="s">
        <v>402</v>
      </c>
      <c r="B48" s="24" t="s">
        <v>403</v>
      </c>
      <c r="C48" s="24" t="s">
        <v>317</v>
      </c>
      <c r="D48" s="24" t="s">
        <v>404</v>
      </c>
      <c r="E48" s="24" t="s">
        <v>405</v>
      </c>
    </row>
    <row r="49" customFormat="false" ht="78.75" hidden="false" customHeight="true" outlineLevel="0" collapsed="false">
      <c r="A49" s="24" t="s">
        <v>94</v>
      </c>
      <c r="B49" s="24" t="s">
        <v>406</v>
      </c>
      <c r="C49" s="24" t="s">
        <v>29</v>
      </c>
      <c r="D49" s="24" t="s">
        <v>407</v>
      </c>
      <c r="E49" s="24" t="s">
        <v>408</v>
      </c>
    </row>
    <row r="50" customFormat="false" ht="29.85" hidden="false" customHeight="false" outlineLevel="0" collapsed="false">
      <c r="A50" s="24" t="s">
        <v>409</v>
      </c>
      <c r="B50" s="24" t="s">
        <v>410</v>
      </c>
      <c r="C50" s="24" t="s">
        <v>317</v>
      </c>
      <c r="D50" s="25"/>
      <c r="E50" s="24" t="s">
        <v>411</v>
      </c>
    </row>
    <row r="52" customFormat="false" ht="15.75" hidden="false" customHeight="true" outlineLevel="0" collapsed="false"/>
    <row r="53" customFormat="false" ht="15.75" hidden="false" customHeight="true" outlineLevel="0" collapsed="false">
      <c r="A53" s="21" t="n">
        <v>46357</v>
      </c>
    </row>
    <row r="54" customFormat="false" ht="94.5" hidden="false" customHeight="true" outlineLevel="0" collapsed="false">
      <c r="A54" s="23"/>
    </row>
    <row r="55" customFormat="false" ht="78.75" hidden="false" customHeight="true" outlineLevel="0" collapsed="false">
      <c r="A55" s="24" t="s">
        <v>0</v>
      </c>
      <c r="B55" s="24" t="s">
        <v>283</v>
      </c>
      <c r="C55" s="24" t="s">
        <v>3</v>
      </c>
      <c r="D55" s="24" t="s">
        <v>284</v>
      </c>
      <c r="E55" s="24" t="s">
        <v>285</v>
      </c>
    </row>
    <row r="56" customFormat="false" ht="330.75" hidden="false" customHeight="true" outlineLevel="0" collapsed="false">
      <c r="A56" s="24" t="s">
        <v>412</v>
      </c>
      <c r="B56" s="24" t="s">
        <v>413</v>
      </c>
      <c r="C56" s="24" t="s">
        <v>29</v>
      </c>
      <c r="D56" s="24" t="s">
        <v>414</v>
      </c>
      <c r="E56" s="24" t="s">
        <v>415</v>
      </c>
    </row>
    <row r="57" customFormat="false" ht="110.25" hidden="false" customHeight="true" outlineLevel="0" collapsed="false">
      <c r="A57" s="24" t="s">
        <v>416</v>
      </c>
      <c r="B57" s="24" t="s">
        <v>417</v>
      </c>
      <c r="C57" s="24" t="s">
        <v>317</v>
      </c>
      <c r="D57" s="24" t="s">
        <v>418</v>
      </c>
      <c r="E57" s="24" t="s">
        <v>419</v>
      </c>
    </row>
    <row r="58" customFormat="false" ht="126" hidden="false" customHeight="true" outlineLevel="0" collapsed="false">
      <c r="A58" s="24" t="s">
        <v>420</v>
      </c>
      <c r="B58" s="24" t="s">
        <v>421</v>
      </c>
      <c r="C58" s="24" t="s">
        <v>29</v>
      </c>
      <c r="D58" s="25"/>
      <c r="E58" s="24" t="s">
        <v>370</v>
      </c>
    </row>
    <row r="59" customFormat="false" ht="63" hidden="false" customHeight="true" outlineLevel="0" collapsed="false">
      <c r="A59" s="24" t="s">
        <v>422</v>
      </c>
      <c r="B59" s="24" t="s">
        <v>423</v>
      </c>
      <c r="C59" s="24" t="s">
        <v>29</v>
      </c>
      <c r="D59" s="24" t="s">
        <v>424</v>
      </c>
      <c r="E59" s="24" t="s">
        <v>425</v>
      </c>
    </row>
    <row r="60" customFormat="false" ht="157.5" hidden="false" customHeight="true" outlineLevel="0" collapsed="false">
      <c r="A60" s="24" t="s">
        <v>426</v>
      </c>
      <c r="B60" s="24" t="s">
        <v>427</v>
      </c>
      <c r="C60" s="24" t="s">
        <v>29</v>
      </c>
      <c r="D60" s="24" t="s">
        <v>428</v>
      </c>
      <c r="E60" s="24" t="s">
        <v>370</v>
      </c>
    </row>
    <row r="61" customFormat="false" ht="126" hidden="false" customHeight="true" outlineLevel="0" collapsed="false">
      <c r="A61" s="24" t="s">
        <v>429</v>
      </c>
      <c r="B61" s="24" t="s">
        <v>430</v>
      </c>
      <c r="C61" s="24" t="s">
        <v>317</v>
      </c>
      <c r="D61" s="25"/>
      <c r="E61" s="24" t="s">
        <v>370</v>
      </c>
    </row>
    <row r="62" customFormat="false" ht="141.75" hidden="false" customHeight="true" outlineLevel="0" collapsed="false">
      <c r="A62" s="24" t="s">
        <v>431</v>
      </c>
      <c r="B62" s="24" t="s">
        <v>432</v>
      </c>
      <c r="C62" s="24" t="s">
        <v>317</v>
      </c>
      <c r="D62" s="25"/>
      <c r="E62" s="24" t="s">
        <v>433</v>
      </c>
    </row>
    <row r="63" customFormat="false" ht="78.75" hidden="false" customHeight="true" outlineLevel="0" collapsed="false">
      <c r="A63" s="24" t="s">
        <v>434</v>
      </c>
      <c r="B63" s="24" t="s">
        <v>432</v>
      </c>
      <c r="C63" s="24" t="s">
        <v>317</v>
      </c>
      <c r="D63" s="25"/>
      <c r="E63" s="24" t="s">
        <v>435</v>
      </c>
    </row>
    <row r="64" customFormat="false" ht="29.85" hidden="false" customHeight="false" outlineLevel="0" collapsed="false">
      <c r="A64" s="24" t="s">
        <v>436</v>
      </c>
      <c r="B64" s="24" t="s">
        <v>432</v>
      </c>
      <c r="C64" s="24" t="s">
        <v>317</v>
      </c>
      <c r="D64" s="25"/>
      <c r="E64" s="24" t="s">
        <v>437</v>
      </c>
    </row>
    <row r="67" customFormat="false" ht="15.75" hidden="false" customHeight="true" outlineLevel="0" collapsed="false"/>
    <row r="68" customFormat="false" ht="15.75" hidden="false" customHeight="true" outlineLevel="0" collapsed="false">
      <c r="A68" s="26" t="s">
        <v>438</v>
      </c>
    </row>
    <row r="69" customFormat="false" ht="94.5" hidden="false" customHeight="true" outlineLevel="0" collapsed="false">
      <c r="A69" s="23"/>
    </row>
    <row r="70" customFormat="false" ht="110.25" hidden="false" customHeight="true" outlineLevel="0" collapsed="false">
      <c r="A70" s="24" t="s">
        <v>0</v>
      </c>
      <c r="B70" s="24" t="s">
        <v>283</v>
      </c>
      <c r="C70" s="24" t="s">
        <v>3</v>
      </c>
      <c r="D70" s="24" t="s">
        <v>284</v>
      </c>
      <c r="E70" s="24" t="s">
        <v>285</v>
      </c>
    </row>
    <row r="71" customFormat="false" ht="220.5" hidden="false" customHeight="true" outlineLevel="0" collapsed="false">
      <c r="A71" s="24" t="s">
        <v>439</v>
      </c>
      <c r="B71" s="24" t="s">
        <v>440</v>
      </c>
      <c r="C71" s="24" t="s">
        <v>317</v>
      </c>
      <c r="D71" s="24" t="s">
        <v>441</v>
      </c>
      <c r="E71" s="24" t="s">
        <v>341</v>
      </c>
    </row>
    <row r="72" customFormat="false" ht="157.5" hidden="false" customHeight="true" outlineLevel="0" collapsed="false">
      <c r="A72" s="24" t="s">
        <v>227</v>
      </c>
      <c r="B72" s="24" t="s">
        <v>442</v>
      </c>
      <c r="C72" s="24" t="s">
        <v>443</v>
      </c>
      <c r="D72" s="24" t="s">
        <v>444</v>
      </c>
      <c r="E72" s="24" t="s">
        <v>445</v>
      </c>
    </row>
    <row r="73" customFormat="false" ht="110.25" hidden="false" customHeight="true" outlineLevel="0" collapsed="false">
      <c r="A73" s="24" t="s">
        <v>446</v>
      </c>
      <c r="B73" s="24" t="s">
        <v>447</v>
      </c>
      <c r="C73" s="24" t="s">
        <v>29</v>
      </c>
      <c r="D73" s="24" t="s">
        <v>448</v>
      </c>
      <c r="E73" s="24" t="s">
        <v>449</v>
      </c>
    </row>
    <row r="74" customFormat="false" ht="78.75" hidden="false" customHeight="true" outlineLevel="0" collapsed="false">
      <c r="A74" s="24" t="s">
        <v>450</v>
      </c>
      <c r="B74" s="24" t="s">
        <v>451</v>
      </c>
      <c r="C74" s="24" t="s">
        <v>452</v>
      </c>
      <c r="D74" s="24" t="s">
        <v>453</v>
      </c>
      <c r="E74" s="24" t="s">
        <v>454</v>
      </c>
    </row>
    <row r="75" customFormat="false" ht="29.85" hidden="false" customHeight="false" outlineLevel="0" collapsed="false">
      <c r="A75" s="24" t="s">
        <v>455</v>
      </c>
      <c r="B75" s="24" t="s">
        <v>456</v>
      </c>
      <c r="C75" s="24" t="s">
        <v>291</v>
      </c>
      <c r="D75" s="24" t="s">
        <v>457</v>
      </c>
      <c r="E75" s="24" t="s">
        <v>458</v>
      </c>
    </row>
  </sheetData>
  <mergeCells count="1">
    <mergeCell ref="A2:E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0:M25"/>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F24" activeCellId="0" sqref="F24"/>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16"/>
    <col collapsed="false" customWidth="true" hidden="false" outlineLevel="0" max="5" min="4" style="0" width="12"/>
    <col collapsed="false" customWidth="true" hidden="false" outlineLevel="0" max="10" min="10" style="0" width="38"/>
    <col collapsed="false" customWidth="true" hidden="false" outlineLevel="0" max="11" min="11" style="0" width="30"/>
    <col collapsed="false" customWidth="true" hidden="false" outlineLevel="0" max="12" min="12" style="0" width="34"/>
    <col collapsed="false" customWidth="true" hidden="false" outlineLevel="0" max="13" min="13" style="0" width="40"/>
  </cols>
  <sheetData>
    <row r="10" customFormat="false" ht="15" hidden="false" customHeight="false" outlineLevel="0" collapsed="false">
      <c r="J10" s="27" t="s">
        <v>459</v>
      </c>
    </row>
    <row r="15" customFormat="false" ht="23.25" hidden="false" customHeight="true" outlineLevel="0" collapsed="false">
      <c r="A15" s="28" t="s">
        <v>460</v>
      </c>
    </row>
    <row r="17" customFormat="false" ht="105" hidden="false" customHeight="true" outlineLevel="0" collapsed="false">
      <c r="A17" s="1" t="s">
        <v>149</v>
      </c>
      <c r="B17" s="1" t="s">
        <v>0</v>
      </c>
      <c r="C17" s="1" t="s">
        <v>461</v>
      </c>
      <c r="D17" s="1" t="s">
        <v>462</v>
      </c>
      <c r="E17" s="29" t="s">
        <v>463</v>
      </c>
      <c r="J17" s="1" t="s">
        <v>464</v>
      </c>
      <c r="K17" s="1" t="s">
        <v>465</v>
      </c>
      <c r="L17" s="1" t="s">
        <v>466</v>
      </c>
      <c r="M17" s="1" t="s">
        <v>467</v>
      </c>
    </row>
    <row r="18" customFormat="false" ht="135" hidden="false" customHeight="true" outlineLevel="0" collapsed="false">
      <c r="A18" s="30" t="n">
        <v>46266</v>
      </c>
      <c r="B18" s="19" t="s">
        <v>468</v>
      </c>
      <c r="C18" s="19" t="s">
        <v>48</v>
      </c>
      <c r="D18" s="19" t="s">
        <v>469</v>
      </c>
      <c r="E18" s="19" t="s">
        <v>469</v>
      </c>
      <c r="J18" s="19" t="s">
        <v>470</v>
      </c>
      <c r="K18" s="19" t="s">
        <v>471</v>
      </c>
      <c r="L18" s="19" t="s">
        <v>472</v>
      </c>
      <c r="M18" s="19" t="s">
        <v>473</v>
      </c>
    </row>
    <row r="19" customFormat="false" ht="150" hidden="false" customHeight="true" outlineLevel="0" collapsed="false">
      <c r="A19" s="30" t="n">
        <v>46266</v>
      </c>
      <c r="B19" s="19" t="s">
        <v>474</v>
      </c>
      <c r="C19" s="19" t="s">
        <v>48</v>
      </c>
      <c r="D19" s="19" t="s">
        <v>475</v>
      </c>
      <c r="E19" s="19" t="s">
        <v>475</v>
      </c>
      <c r="J19" s="19" t="s">
        <v>476</v>
      </c>
      <c r="K19" s="19" t="s">
        <v>477</v>
      </c>
      <c r="L19" s="19" t="s">
        <v>478</v>
      </c>
      <c r="M19" s="19" t="s">
        <v>479</v>
      </c>
    </row>
    <row r="20" customFormat="false" ht="120" hidden="false" customHeight="true" outlineLevel="0" collapsed="false">
      <c r="A20" s="31" t="n">
        <v>46296</v>
      </c>
      <c r="B20" s="19" t="s">
        <v>480</v>
      </c>
      <c r="C20" s="19" t="s">
        <v>48</v>
      </c>
      <c r="D20" s="19" t="s">
        <v>469</v>
      </c>
      <c r="E20" s="19" t="s">
        <v>469</v>
      </c>
      <c r="J20" s="19" t="s">
        <v>481</v>
      </c>
      <c r="K20" s="19" t="s">
        <v>482</v>
      </c>
      <c r="L20" s="19" t="s">
        <v>483</v>
      </c>
      <c r="M20" s="19" t="s">
        <v>484</v>
      </c>
    </row>
    <row r="21" customFormat="false" ht="90" hidden="false" customHeight="true" outlineLevel="0" collapsed="false">
      <c r="A21" s="31" t="n">
        <v>46327</v>
      </c>
      <c r="B21" s="19" t="s">
        <v>485</v>
      </c>
      <c r="C21" s="19" t="s">
        <v>48</v>
      </c>
      <c r="D21" s="19" t="s">
        <v>469</v>
      </c>
      <c r="E21" s="19" t="s">
        <v>469</v>
      </c>
      <c r="J21" s="19" t="s">
        <v>486</v>
      </c>
      <c r="K21" s="19" t="s">
        <v>487</v>
      </c>
      <c r="L21" s="19" t="s">
        <v>488</v>
      </c>
      <c r="M21" s="19" t="s">
        <v>489</v>
      </c>
    </row>
    <row r="22" customFormat="false" ht="90" hidden="false" customHeight="true" outlineLevel="0" collapsed="false">
      <c r="A22" s="31" t="n">
        <v>46357</v>
      </c>
      <c r="B22" s="19" t="s">
        <v>490</v>
      </c>
      <c r="C22" s="19" t="s">
        <v>48</v>
      </c>
      <c r="D22" s="19" t="s">
        <v>491</v>
      </c>
      <c r="E22" s="19" t="s">
        <v>491</v>
      </c>
      <c r="J22" s="19" t="s">
        <v>492</v>
      </c>
      <c r="K22" s="19" t="s">
        <v>29</v>
      </c>
      <c r="L22" s="19" t="s">
        <v>493</v>
      </c>
      <c r="M22" s="19" t="s">
        <v>494</v>
      </c>
    </row>
    <row r="23" customFormat="false" ht="105" hidden="false" customHeight="true" outlineLevel="0" collapsed="false">
      <c r="A23" s="31" t="n">
        <v>46388</v>
      </c>
      <c r="B23" s="19" t="s">
        <v>495</v>
      </c>
      <c r="C23" s="19" t="s">
        <v>496</v>
      </c>
      <c r="D23" s="19" t="s">
        <v>469</v>
      </c>
      <c r="E23" s="19" t="s">
        <v>475</v>
      </c>
      <c r="J23" s="19" t="s">
        <v>497</v>
      </c>
      <c r="K23" s="19" t="s">
        <v>29</v>
      </c>
      <c r="L23" s="19" t="s">
        <v>498</v>
      </c>
      <c r="M23" s="19" t="s">
        <v>499</v>
      </c>
    </row>
    <row r="24" customFormat="false" ht="150" hidden="false" customHeight="true" outlineLevel="0" collapsed="false">
      <c r="J24" s="19" t="s">
        <v>500</v>
      </c>
      <c r="K24" s="19" t="s">
        <v>477</v>
      </c>
      <c r="L24" s="19" t="s">
        <v>501</v>
      </c>
      <c r="M24" s="19" t="s">
        <v>502</v>
      </c>
    </row>
    <row r="25" customFormat="false" ht="120" hidden="false" customHeight="true" outlineLevel="0" collapsed="false">
      <c r="J25" s="19" t="s">
        <v>503</v>
      </c>
      <c r="K25" s="19" t="s">
        <v>48</v>
      </c>
      <c r="L25" s="19" t="s">
        <v>504</v>
      </c>
      <c r="M25" s="19" t="s">
        <v>505</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0"/>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pane xSplit="0" ySplit="1" topLeftCell="A2" activePane="bottomLeft" state="frozen"/>
      <selection pane="topLeft" activeCell="A9" activeCellId="0" sqref="A9"/>
      <selection pane="bottomLeft" activeCell="F22" activeCellId="0" sqref="F22"/>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24"/>
    <col collapsed="false" customWidth="true" hidden="false" outlineLevel="0" max="4" min="4" style="0" width="16"/>
    <col collapsed="false" customWidth="true" hidden="false" outlineLevel="0" max="5" min="5" style="0" width="34"/>
    <col collapsed="false" customWidth="true" hidden="false" outlineLevel="0" max="6" min="6" style="0" width="26"/>
    <col collapsed="false" customWidth="true" hidden="false" outlineLevel="0" max="7" min="7" style="0" width="12"/>
  </cols>
  <sheetData>
    <row r="1" customFormat="false" ht="116.25" hidden="false" customHeight="true" outlineLevel="0" collapsed="false">
      <c r="A1" s="1" t="s">
        <v>0</v>
      </c>
      <c r="B1" s="1" t="s">
        <v>283</v>
      </c>
      <c r="C1" s="1" t="s">
        <v>3</v>
      </c>
      <c r="D1" s="1" t="s">
        <v>506</v>
      </c>
      <c r="E1" s="1" t="s">
        <v>507</v>
      </c>
      <c r="F1" s="1" t="s">
        <v>508</v>
      </c>
      <c r="G1" s="1" t="s">
        <v>21</v>
      </c>
    </row>
    <row r="2" customFormat="false" ht="50.25" hidden="false" customHeight="true" outlineLevel="0" collapsed="false">
      <c r="A2" s="2" t="s">
        <v>27</v>
      </c>
      <c r="B2" s="4" t="s">
        <v>509</v>
      </c>
      <c r="C2" s="2" t="s">
        <v>28</v>
      </c>
      <c r="D2" s="4" t="s">
        <v>510</v>
      </c>
      <c r="E2" s="4" t="s">
        <v>511</v>
      </c>
      <c r="F2" s="4" t="s">
        <v>512</v>
      </c>
      <c r="G2" s="8" t="s">
        <v>33</v>
      </c>
    </row>
    <row r="3" customFormat="false" ht="50.25" hidden="false" customHeight="true" outlineLevel="0" collapsed="false">
      <c r="A3" s="9" t="s">
        <v>36</v>
      </c>
      <c r="B3" s="11" t="s">
        <v>513</v>
      </c>
      <c r="C3" s="9" t="s">
        <v>28</v>
      </c>
      <c r="D3" s="11" t="s">
        <v>514</v>
      </c>
      <c r="E3" s="11" t="s">
        <v>515</v>
      </c>
      <c r="F3" s="11" t="s">
        <v>516</v>
      </c>
      <c r="G3" s="8" t="s">
        <v>33</v>
      </c>
    </row>
    <row r="4" customFormat="false" ht="66.75" hidden="false" customHeight="true" outlineLevel="0" collapsed="false">
      <c r="A4" s="2" t="s">
        <v>41</v>
      </c>
      <c r="B4" s="4" t="s">
        <v>517</v>
      </c>
      <c r="C4" s="2" t="s">
        <v>28</v>
      </c>
      <c r="D4" s="4" t="s">
        <v>518</v>
      </c>
      <c r="E4" s="4" t="s">
        <v>519</v>
      </c>
      <c r="F4" s="4" t="s">
        <v>520</v>
      </c>
      <c r="G4" s="8" t="s">
        <v>33</v>
      </c>
    </row>
    <row r="5" customFormat="false" ht="33.75" hidden="false" customHeight="true" outlineLevel="0" collapsed="false">
      <c r="A5" s="9" t="s">
        <v>46</v>
      </c>
      <c r="B5" s="32" t="s">
        <v>521</v>
      </c>
      <c r="C5" s="9" t="s">
        <v>47</v>
      </c>
      <c r="D5" s="11" t="s">
        <v>522</v>
      </c>
      <c r="E5" s="11" t="s">
        <v>523</v>
      </c>
      <c r="F5" s="11" t="s">
        <v>524</v>
      </c>
      <c r="G5" s="15" t="s">
        <v>51</v>
      </c>
    </row>
    <row r="6" customFormat="false" ht="50.25" hidden="false" customHeight="true" outlineLevel="0" collapsed="false">
      <c r="A6" s="2" t="s">
        <v>52</v>
      </c>
      <c r="B6" s="4" t="s">
        <v>525</v>
      </c>
      <c r="C6" s="2" t="s">
        <v>28</v>
      </c>
      <c r="D6" s="4" t="s">
        <v>526</v>
      </c>
      <c r="E6" s="4" t="s">
        <v>527</v>
      </c>
      <c r="F6" s="4" t="s">
        <v>528</v>
      </c>
      <c r="G6" s="15" t="s">
        <v>51</v>
      </c>
    </row>
    <row r="7" customFormat="false" ht="50.25" hidden="false" customHeight="true" outlineLevel="0" collapsed="false">
      <c r="A7" s="9" t="s">
        <v>58</v>
      </c>
      <c r="B7" s="11" t="s">
        <v>529</v>
      </c>
      <c r="C7" s="9" t="s">
        <v>47</v>
      </c>
      <c r="D7" s="11" t="s">
        <v>530</v>
      </c>
      <c r="E7" s="11" t="s">
        <v>531</v>
      </c>
      <c r="F7" s="11" t="s">
        <v>532</v>
      </c>
      <c r="G7" s="15" t="s">
        <v>51</v>
      </c>
    </row>
    <row r="8" customFormat="false" ht="50.25" hidden="false" customHeight="true" outlineLevel="0" collapsed="false">
      <c r="A8" s="2" t="s">
        <v>61</v>
      </c>
      <c r="B8" s="4" t="s">
        <v>533</v>
      </c>
      <c r="C8" s="2" t="s">
        <v>47</v>
      </c>
      <c r="D8" s="4" t="s">
        <v>522</v>
      </c>
      <c r="E8" s="4" t="s">
        <v>523</v>
      </c>
      <c r="F8" s="4" t="s">
        <v>524</v>
      </c>
      <c r="G8" s="15" t="s">
        <v>51</v>
      </c>
    </row>
    <row r="9" customFormat="false" ht="83.25" hidden="false" customHeight="true" outlineLevel="0" collapsed="false">
      <c r="A9" s="9" t="s">
        <v>64</v>
      </c>
      <c r="B9" s="11" t="s">
        <v>534</v>
      </c>
      <c r="C9" s="9" t="s">
        <v>29</v>
      </c>
      <c r="D9" s="11" t="s">
        <v>535</v>
      </c>
      <c r="E9" s="11" t="s">
        <v>536</v>
      </c>
      <c r="F9" s="11" t="s">
        <v>537</v>
      </c>
      <c r="G9" s="8" t="s">
        <v>33</v>
      </c>
    </row>
    <row r="10" customFormat="false" ht="66.75" hidden="false" customHeight="true" outlineLevel="0" collapsed="false">
      <c r="A10" s="2" t="s">
        <v>69</v>
      </c>
      <c r="B10" s="4" t="s">
        <v>538</v>
      </c>
      <c r="C10" s="2" t="s">
        <v>29</v>
      </c>
      <c r="D10" s="4" t="s">
        <v>526</v>
      </c>
      <c r="E10" s="4" t="s">
        <v>539</v>
      </c>
      <c r="F10" s="4" t="s">
        <v>532</v>
      </c>
      <c r="G10" s="15" t="s">
        <v>51</v>
      </c>
    </row>
    <row r="11" customFormat="false" ht="50.25" hidden="false" customHeight="true" outlineLevel="0" collapsed="false">
      <c r="A11" s="9" t="s">
        <v>71</v>
      </c>
      <c r="B11" s="32" t="s">
        <v>540</v>
      </c>
      <c r="C11" s="9" t="s">
        <v>29</v>
      </c>
      <c r="D11" s="11" t="s">
        <v>518</v>
      </c>
      <c r="E11" s="11" t="s">
        <v>541</v>
      </c>
      <c r="F11" s="11" t="s">
        <v>542</v>
      </c>
      <c r="G11" s="15" t="s">
        <v>51</v>
      </c>
    </row>
    <row r="12" customFormat="false" ht="50.25" hidden="false" customHeight="true" outlineLevel="0" collapsed="false">
      <c r="A12" s="2" t="s">
        <v>76</v>
      </c>
      <c r="B12" s="4" t="s">
        <v>543</v>
      </c>
      <c r="C12" s="2" t="s">
        <v>47</v>
      </c>
      <c r="D12" s="4" t="s">
        <v>544</v>
      </c>
      <c r="E12" s="4" t="s">
        <v>545</v>
      </c>
      <c r="F12" s="4" t="s">
        <v>546</v>
      </c>
      <c r="G12" s="15" t="s">
        <v>51</v>
      </c>
    </row>
    <row r="13" customFormat="false" ht="50.25" hidden="false" customHeight="true" outlineLevel="0" collapsed="false">
      <c r="A13" s="9" t="s">
        <v>79</v>
      </c>
      <c r="B13" s="32" t="s">
        <v>547</v>
      </c>
      <c r="C13" s="9" t="s">
        <v>47</v>
      </c>
      <c r="D13" s="11" t="s">
        <v>530</v>
      </c>
      <c r="E13" s="11" t="s">
        <v>531</v>
      </c>
      <c r="F13" s="11" t="s">
        <v>532</v>
      </c>
      <c r="G13" s="15" t="s">
        <v>51</v>
      </c>
    </row>
    <row r="14" customFormat="false" ht="66.75" hidden="false" customHeight="true" outlineLevel="0" collapsed="false">
      <c r="A14" s="2" t="s">
        <v>81</v>
      </c>
      <c r="B14" s="33" t="s">
        <v>548</v>
      </c>
      <c r="C14" s="2" t="s">
        <v>47</v>
      </c>
      <c r="D14" s="4" t="s">
        <v>510</v>
      </c>
      <c r="E14" s="4" t="s">
        <v>549</v>
      </c>
      <c r="F14" s="4" t="s">
        <v>550</v>
      </c>
      <c r="G14" s="8" t="s">
        <v>33</v>
      </c>
    </row>
    <row r="15" customFormat="false" ht="50.25" hidden="false" customHeight="true" outlineLevel="0" collapsed="false">
      <c r="A15" s="9" t="s">
        <v>85</v>
      </c>
      <c r="B15" s="32" t="s">
        <v>551</v>
      </c>
      <c r="C15" s="9" t="s">
        <v>29</v>
      </c>
      <c r="D15" s="11" t="s">
        <v>552</v>
      </c>
      <c r="E15" s="11" t="s">
        <v>553</v>
      </c>
      <c r="F15" s="11" t="s">
        <v>554</v>
      </c>
      <c r="G15" s="8" t="s">
        <v>33</v>
      </c>
    </row>
    <row r="16" customFormat="false" ht="50.25" hidden="false" customHeight="true" outlineLevel="0" collapsed="false">
      <c r="A16" s="2" t="s">
        <v>89</v>
      </c>
      <c r="B16" s="33" t="s">
        <v>555</v>
      </c>
      <c r="C16" s="2" t="s">
        <v>47</v>
      </c>
      <c r="D16" s="4" t="s">
        <v>556</v>
      </c>
      <c r="E16" s="4" t="s">
        <v>557</v>
      </c>
      <c r="F16" s="4" t="s">
        <v>558</v>
      </c>
      <c r="G16" s="8" t="s">
        <v>33</v>
      </c>
    </row>
    <row r="17" customFormat="false" ht="15" hidden="false" customHeight="false" outlineLevel="0" collapsed="false">
      <c r="A17" s="9" t="s">
        <v>94</v>
      </c>
      <c r="B17" s="11" t="s">
        <v>559</v>
      </c>
      <c r="C17" s="9" t="s">
        <v>29</v>
      </c>
      <c r="D17" s="11" t="s">
        <v>560</v>
      </c>
      <c r="E17" s="11" t="s">
        <v>561</v>
      </c>
      <c r="F17" s="11" t="s">
        <v>562</v>
      </c>
      <c r="G17" s="8" t="s">
        <v>33</v>
      </c>
    </row>
    <row r="18" customFormat="false" ht="15" hidden="false" customHeight="false" outlineLevel="0" collapsed="false">
      <c r="A18" s="2" t="s">
        <v>99</v>
      </c>
      <c r="B18" s="4" t="s">
        <v>563</v>
      </c>
      <c r="C18" s="2" t="s">
        <v>47</v>
      </c>
      <c r="D18" s="4" t="s">
        <v>564</v>
      </c>
      <c r="E18" s="4" t="s">
        <v>565</v>
      </c>
      <c r="F18" s="4" t="s">
        <v>566</v>
      </c>
      <c r="G18" s="16" t="s">
        <v>103</v>
      </c>
    </row>
    <row r="19" customFormat="false" ht="15" hidden="false" customHeight="false" outlineLevel="0" collapsed="false">
      <c r="A19" s="9" t="s">
        <v>105</v>
      </c>
      <c r="B19" s="11" t="s">
        <v>567</v>
      </c>
      <c r="C19" s="9" t="s">
        <v>29</v>
      </c>
      <c r="D19" s="11" t="s">
        <v>568</v>
      </c>
      <c r="E19" s="11" t="s">
        <v>569</v>
      </c>
      <c r="F19" s="11" t="s">
        <v>570</v>
      </c>
      <c r="G19" s="15" t="s">
        <v>51</v>
      </c>
    </row>
    <row r="20" customFormat="false" ht="15" hidden="false" customHeight="false" outlineLevel="0" collapsed="false">
      <c r="A20" s="2" t="s">
        <v>110</v>
      </c>
      <c r="B20" s="4" t="s">
        <v>571</v>
      </c>
      <c r="C20" s="2" t="s">
        <v>47</v>
      </c>
      <c r="D20" s="4" t="s">
        <v>572</v>
      </c>
      <c r="E20" s="4" t="s">
        <v>573</v>
      </c>
      <c r="F20" s="4" t="s">
        <v>574</v>
      </c>
      <c r="G20" s="16" t="s">
        <v>103</v>
      </c>
    </row>
    <row r="21" customFormat="false" ht="15" hidden="false" customHeight="false" outlineLevel="0" collapsed="false">
      <c r="A21" s="9" t="s">
        <v>114</v>
      </c>
      <c r="B21" s="11" t="s">
        <v>575</v>
      </c>
      <c r="C21" s="9" t="s">
        <v>29</v>
      </c>
      <c r="D21" s="11" t="s">
        <v>514</v>
      </c>
      <c r="E21" s="11" t="s">
        <v>576</v>
      </c>
      <c r="F21" s="11" t="s">
        <v>577</v>
      </c>
      <c r="G21" s="15" t="s">
        <v>51</v>
      </c>
    </row>
    <row r="22" customFormat="false" ht="15" hidden="false" customHeight="false" outlineLevel="0" collapsed="false">
      <c r="A22" s="2" t="s">
        <v>117</v>
      </c>
      <c r="B22" s="4" t="s">
        <v>578</v>
      </c>
      <c r="C22" s="2" t="s">
        <v>118</v>
      </c>
      <c r="D22" s="4" t="s">
        <v>579</v>
      </c>
      <c r="E22" s="4" t="s">
        <v>580</v>
      </c>
      <c r="F22" s="4" t="s">
        <v>581</v>
      </c>
      <c r="G22" s="16" t="s">
        <v>103</v>
      </c>
    </row>
    <row r="23" customFormat="false" ht="15" hidden="false" customHeight="false" outlineLevel="0" collapsed="false">
      <c r="A23" s="9" t="s">
        <v>124</v>
      </c>
      <c r="B23" s="11" t="s">
        <v>582</v>
      </c>
      <c r="C23" s="9" t="s">
        <v>125</v>
      </c>
      <c r="D23" s="11" t="s">
        <v>583</v>
      </c>
      <c r="E23" s="11" t="s">
        <v>583</v>
      </c>
      <c r="F23" s="11" t="s">
        <v>583</v>
      </c>
      <c r="G23" s="15" t="s">
        <v>51</v>
      </c>
    </row>
    <row r="24" customFormat="false" ht="15" hidden="false" customHeight="false" outlineLevel="0" collapsed="false">
      <c r="A24" s="2" t="s">
        <v>128</v>
      </c>
      <c r="B24" s="4" t="s">
        <v>584</v>
      </c>
      <c r="C24" s="2" t="s">
        <v>125</v>
      </c>
      <c r="D24" s="4" t="s">
        <v>535</v>
      </c>
      <c r="E24" s="4" t="s">
        <v>536</v>
      </c>
      <c r="F24" s="4" t="s">
        <v>537</v>
      </c>
      <c r="G24" s="8" t="s">
        <v>33</v>
      </c>
    </row>
    <row r="25" customFormat="false" ht="15" hidden="false" customHeight="false" outlineLevel="0" collapsed="false">
      <c r="A25" s="9" t="s">
        <v>71</v>
      </c>
      <c r="B25" s="11" t="s">
        <v>584</v>
      </c>
      <c r="C25" s="9" t="s">
        <v>125</v>
      </c>
      <c r="D25" s="11" t="s">
        <v>518</v>
      </c>
      <c r="E25" s="11" t="s">
        <v>541</v>
      </c>
      <c r="F25" s="11" t="s">
        <v>542</v>
      </c>
      <c r="G25" s="15" t="s">
        <v>51</v>
      </c>
    </row>
    <row r="26" customFormat="false" ht="15" hidden="false" customHeight="false" outlineLevel="0" collapsed="false">
      <c r="A26" s="2" t="s">
        <v>94</v>
      </c>
      <c r="B26" s="4" t="s">
        <v>585</v>
      </c>
      <c r="C26" s="2" t="s">
        <v>125</v>
      </c>
      <c r="D26" s="4" t="s">
        <v>560</v>
      </c>
      <c r="E26" s="4" t="s">
        <v>561</v>
      </c>
      <c r="F26" s="4" t="s">
        <v>562</v>
      </c>
      <c r="G26" s="8" t="s">
        <v>33</v>
      </c>
    </row>
    <row r="27" customFormat="false" ht="15" hidden="false" customHeight="false" outlineLevel="0" collapsed="false">
      <c r="A27" s="9" t="s">
        <v>138</v>
      </c>
      <c r="B27" s="11" t="s">
        <v>586</v>
      </c>
      <c r="C27" s="9" t="s">
        <v>139</v>
      </c>
      <c r="D27" s="11" t="s">
        <v>587</v>
      </c>
      <c r="E27" s="11" t="s">
        <v>588</v>
      </c>
      <c r="F27" s="11" t="s">
        <v>589</v>
      </c>
      <c r="G27" s="16" t="s">
        <v>103</v>
      </c>
    </row>
    <row r="28" customFormat="false" ht="15" hidden="false" customHeight="false" outlineLevel="0" collapsed="false">
      <c r="A28" s="2" t="s">
        <v>89</v>
      </c>
      <c r="B28" s="4" t="s">
        <v>585</v>
      </c>
      <c r="C28" s="2" t="s">
        <v>145</v>
      </c>
      <c r="D28" s="4" t="s">
        <v>556</v>
      </c>
      <c r="E28" s="4" t="s">
        <v>557</v>
      </c>
      <c r="F28" s="4" t="s">
        <v>558</v>
      </c>
      <c r="G28" s="8" t="s">
        <v>33</v>
      </c>
    </row>
    <row r="29" customFormat="false" ht="15" hidden="false" customHeight="false" outlineLevel="0" collapsed="false">
      <c r="A29" s="9" t="s">
        <v>99</v>
      </c>
      <c r="B29" s="11" t="s">
        <v>590</v>
      </c>
      <c r="C29" s="9" t="s">
        <v>145</v>
      </c>
      <c r="D29" s="11" t="s">
        <v>564</v>
      </c>
      <c r="E29" s="11" t="s">
        <v>565</v>
      </c>
      <c r="F29" s="11" t="s">
        <v>566</v>
      </c>
      <c r="G29" s="16" t="s">
        <v>103</v>
      </c>
    </row>
    <row r="30" customFormat="false" ht="45" hidden="false" customHeight="true" outlineLevel="0" collapsed="false">
      <c r="A30" s="34" t="s">
        <v>591</v>
      </c>
      <c r="B30" s="34"/>
      <c r="C30" s="34"/>
      <c r="D30" s="34"/>
      <c r="E30" s="34"/>
      <c r="F30" s="34"/>
      <c r="G30" s="34"/>
    </row>
  </sheetData>
  <mergeCells count="1">
    <mergeCell ref="A30:G3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7" activeCellId="0" sqref="H7"/>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0"/>
    <col collapsed="false" customWidth="true" hidden="false" outlineLevel="0" max="4" min="4" style="0" width="36"/>
    <col collapsed="false" customWidth="true" hidden="false" outlineLevel="0" max="5" min="5" style="0" width="28"/>
  </cols>
  <sheetData>
    <row r="1" customFormat="false" ht="21" hidden="false" customHeight="true" outlineLevel="0" collapsed="false">
      <c r="A1" s="35" t="s">
        <v>592</v>
      </c>
      <c r="B1" s="35"/>
      <c r="C1" s="35"/>
      <c r="D1" s="35"/>
      <c r="E1" s="35"/>
    </row>
    <row r="2" customFormat="false" ht="15" hidden="false" customHeight="false" outlineLevel="0" collapsed="false">
      <c r="A2" s="36"/>
      <c r="B2" s="37"/>
      <c r="C2" s="37"/>
    </row>
    <row r="3" customFormat="false" ht="16.5" hidden="false" customHeight="true" outlineLevel="0" collapsed="false">
      <c r="A3" s="38" t="s">
        <v>593</v>
      </c>
      <c r="B3" s="38"/>
      <c r="C3" s="38"/>
      <c r="D3" s="38"/>
      <c r="E3" s="38"/>
    </row>
    <row r="4" customFormat="false" ht="17.25" hidden="false" customHeight="true" outlineLevel="0" collapsed="false">
      <c r="A4" s="39"/>
      <c r="B4" s="37"/>
      <c r="C4" s="37"/>
    </row>
    <row r="5" customFormat="false" ht="99.75" hidden="false" customHeight="true" outlineLevel="0" collapsed="false">
      <c r="A5" s="1" t="s">
        <v>594</v>
      </c>
      <c r="B5" s="1" t="s">
        <v>0</v>
      </c>
      <c r="C5" s="1" t="s">
        <v>283</v>
      </c>
      <c r="D5" s="1" t="s">
        <v>595</v>
      </c>
      <c r="E5" s="1" t="s">
        <v>508</v>
      </c>
    </row>
    <row r="6" customFormat="false" ht="33.75" hidden="false" customHeight="true" outlineLevel="0" collapsed="false">
      <c r="A6" s="11" t="n">
        <v>1</v>
      </c>
      <c r="B6" s="9" t="s">
        <v>117</v>
      </c>
      <c r="C6" s="9" t="s">
        <v>578</v>
      </c>
      <c r="D6" s="11" t="s">
        <v>580</v>
      </c>
      <c r="E6" s="11" t="s">
        <v>581</v>
      </c>
    </row>
    <row r="7" customFormat="false" ht="66.75" hidden="false" customHeight="true" outlineLevel="0" collapsed="false">
      <c r="A7" s="4" t="n">
        <v>2</v>
      </c>
      <c r="B7" s="2" t="s">
        <v>138</v>
      </c>
      <c r="C7" s="2" t="s">
        <v>586</v>
      </c>
      <c r="D7" s="4" t="s">
        <v>588</v>
      </c>
      <c r="E7" s="4" t="s">
        <v>589</v>
      </c>
    </row>
    <row r="8" customFormat="false" ht="83.25" hidden="false" customHeight="true" outlineLevel="0" collapsed="false">
      <c r="A8" s="11" t="n">
        <v>3</v>
      </c>
      <c r="B8" s="9" t="s">
        <v>110</v>
      </c>
      <c r="C8" s="9" t="s">
        <v>571</v>
      </c>
      <c r="D8" s="11" t="s">
        <v>573</v>
      </c>
      <c r="E8" s="11" t="s">
        <v>574</v>
      </c>
    </row>
    <row r="9" customFormat="false" ht="50.25" hidden="false" customHeight="true" outlineLevel="0" collapsed="false">
      <c r="A9" s="4" t="n">
        <v>4</v>
      </c>
      <c r="B9" s="2" t="s">
        <v>99</v>
      </c>
      <c r="C9" s="2" t="s">
        <v>563</v>
      </c>
      <c r="D9" s="4" t="s">
        <v>565</v>
      </c>
      <c r="E9" s="4" t="s">
        <v>566</v>
      </c>
    </row>
    <row r="10" customFormat="false" ht="50.25" hidden="false" customHeight="true" outlineLevel="0" collapsed="false">
      <c r="A10" s="11" t="n">
        <v>5</v>
      </c>
      <c r="B10" s="9" t="s">
        <v>99</v>
      </c>
      <c r="C10" s="9" t="s">
        <v>590</v>
      </c>
      <c r="D10" s="11" t="s">
        <v>565</v>
      </c>
      <c r="E10" s="11" t="s">
        <v>566</v>
      </c>
    </row>
    <row r="11" customFormat="false" ht="33.75" hidden="false" customHeight="true" outlineLevel="0" collapsed="false">
      <c r="A11" s="4" t="n">
        <v>6</v>
      </c>
      <c r="B11" s="2" t="s">
        <v>85</v>
      </c>
      <c r="C11" s="2" t="s">
        <v>551</v>
      </c>
      <c r="D11" s="4" t="s">
        <v>553</v>
      </c>
      <c r="E11" s="4" t="s">
        <v>554</v>
      </c>
    </row>
    <row r="12" customFormat="false" ht="50.25" hidden="false" customHeight="true" outlineLevel="0" collapsed="false">
      <c r="A12" s="11" t="n">
        <v>7</v>
      </c>
      <c r="B12" s="9" t="s">
        <v>41</v>
      </c>
      <c r="C12" s="9" t="s">
        <v>517</v>
      </c>
      <c r="D12" s="11" t="s">
        <v>519</v>
      </c>
      <c r="E12" s="11" t="s">
        <v>520</v>
      </c>
    </row>
    <row r="13" customFormat="false" ht="15" hidden="false" customHeight="false" outlineLevel="0" collapsed="false">
      <c r="A13" s="4" t="n">
        <v>8</v>
      </c>
      <c r="B13" s="2" t="s">
        <v>64</v>
      </c>
      <c r="C13" s="2" t="s">
        <v>534</v>
      </c>
      <c r="D13" s="4" t="s">
        <v>536</v>
      </c>
      <c r="E13" s="4" t="s">
        <v>537</v>
      </c>
    </row>
    <row r="14" customFormat="false" ht="15" hidden="false" customHeight="false" outlineLevel="0" collapsed="false">
      <c r="A14" s="11" t="n">
        <v>9</v>
      </c>
      <c r="B14" s="9" t="s">
        <v>128</v>
      </c>
      <c r="C14" s="9" t="s">
        <v>584</v>
      </c>
      <c r="D14" s="11" t="s">
        <v>536</v>
      </c>
      <c r="E14" s="11" t="s">
        <v>537</v>
      </c>
    </row>
    <row r="15" customFormat="false" ht="15" hidden="false" customHeight="false" outlineLevel="0" collapsed="false">
      <c r="A15" s="4" t="n">
        <v>10</v>
      </c>
      <c r="B15" s="2" t="s">
        <v>94</v>
      </c>
      <c r="C15" s="2" t="s">
        <v>559</v>
      </c>
      <c r="D15" s="4" t="s">
        <v>561</v>
      </c>
      <c r="E15" s="4" t="s">
        <v>562</v>
      </c>
    </row>
  </sheetData>
  <mergeCells count="2">
    <mergeCell ref="A1:E1"/>
    <mergeCell ref="A3:E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21.289062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7"/>
    <col collapsed="false" customWidth="true" hidden="false" outlineLevel="0" max="4" min="4" style="0" width="13"/>
    <col collapsed="false" customWidth="true" hidden="false" outlineLevel="0" max="5" min="5" style="0" width="42"/>
    <col collapsed="false" customWidth="true" hidden="false" outlineLevel="0" max="6" min="6" style="0" width="21"/>
    <col collapsed="false" customWidth="true" hidden="false" outlineLevel="0" max="7" min="7" style="0" width="20"/>
    <col collapsed="false" customWidth="true" hidden="false" outlineLevel="0" max="8" min="8" style="0" width="17"/>
    <col collapsed="false" customWidth="true" hidden="false" outlineLevel="0" max="9" min="9" style="0" width="11"/>
  </cols>
  <sheetData>
    <row r="1" customFormat="false" ht="27.75" hidden="false" customHeight="true" outlineLevel="0" collapsed="false">
      <c r="A1" s="40" t="s">
        <v>596</v>
      </c>
      <c r="B1" s="40"/>
      <c r="C1" s="40"/>
      <c r="D1" s="40"/>
      <c r="E1" s="40"/>
      <c r="F1" s="40"/>
      <c r="G1" s="40"/>
      <c r="H1" s="40"/>
      <c r="I1" s="40"/>
    </row>
    <row r="2" customFormat="false" ht="19.5" hidden="false" customHeight="true" outlineLevel="0" collapsed="false">
      <c r="A2" s="41" t="s">
        <v>597</v>
      </c>
      <c r="B2" s="41"/>
      <c r="C2" s="41"/>
      <c r="D2" s="41"/>
      <c r="E2" s="41"/>
      <c r="F2" s="41"/>
      <c r="G2" s="41"/>
      <c r="H2" s="41"/>
      <c r="I2" s="41"/>
    </row>
    <row r="3" customFormat="false" ht="18" hidden="false" customHeight="true" outlineLevel="0" collapsed="false">
      <c r="A3" s="42" t="s">
        <v>598</v>
      </c>
      <c r="B3" s="42"/>
      <c r="C3" s="42"/>
      <c r="D3" s="42"/>
      <c r="E3" s="42"/>
      <c r="F3" s="42"/>
      <c r="G3" s="42"/>
      <c r="H3" s="42"/>
      <c r="I3" s="42"/>
    </row>
    <row r="4" customFormat="false" ht="15" hidden="false" customHeight="false" outlineLevel="0" collapsed="false">
      <c r="A4" s="43"/>
    </row>
    <row r="5" customFormat="false" ht="21" hidden="false" customHeight="true" outlineLevel="0" collapsed="false">
      <c r="A5" s="44" t="s">
        <v>599</v>
      </c>
      <c r="B5" s="45" t="s">
        <v>51</v>
      </c>
      <c r="C5" s="46" t="s">
        <v>33</v>
      </c>
      <c r="D5" s="47" t="s">
        <v>103</v>
      </c>
      <c r="F5" s="48" t="s">
        <v>600</v>
      </c>
      <c r="G5" s="48"/>
      <c r="H5" s="48"/>
      <c r="I5" s="48"/>
    </row>
    <row r="6" customFormat="false" ht="15" hidden="false" customHeight="false" outlineLevel="0" collapsed="false">
      <c r="A6" s="43"/>
    </row>
    <row r="7" customFormat="false" ht="19.5" hidden="false" customHeight="true" outlineLevel="0" collapsed="false">
      <c r="A7" s="49" t="s">
        <v>601</v>
      </c>
      <c r="B7" s="49"/>
      <c r="C7" s="49"/>
      <c r="D7" s="49"/>
      <c r="E7" s="49"/>
      <c r="F7" s="49"/>
      <c r="G7" s="49"/>
      <c r="H7" s="49"/>
      <c r="I7" s="49"/>
    </row>
    <row r="8" customFormat="false" ht="27.75" hidden="false" customHeight="true" outlineLevel="0" collapsed="false">
      <c r="A8" s="1" t="s">
        <v>283</v>
      </c>
      <c r="B8" s="1" t="s">
        <v>0</v>
      </c>
      <c r="C8" s="1" t="s">
        <v>461</v>
      </c>
      <c r="D8" s="1" t="s">
        <v>6</v>
      </c>
      <c r="E8" s="1" t="s">
        <v>602</v>
      </c>
      <c r="F8" s="1" t="s">
        <v>603</v>
      </c>
      <c r="G8" s="1" t="s">
        <v>604</v>
      </c>
      <c r="H8" s="1" t="s">
        <v>605</v>
      </c>
      <c r="I8" s="1" t="s">
        <v>21</v>
      </c>
    </row>
    <row r="9" customFormat="false" ht="48.75" hidden="false" customHeight="true" outlineLevel="0" collapsed="false">
      <c r="A9" s="4" t="s">
        <v>509</v>
      </c>
      <c r="B9" s="50" t="s">
        <v>27</v>
      </c>
      <c r="C9" s="2" t="s">
        <v>29</v>
      </c>
      <c r="D9" s="4" t="s">
        <v>510</v>
      </c>
      <c r="E9" s="5" t="s">
        <v>31</v>
      </c>
      <c r="F9" s="4" t="s">
        <v>511</v>
      </c>
      <c r="G9" s="4" t="s">
        <v>512</v>
      </c>
      <c r="H9" s="4" t="s">
        <v>606</v>
      </c>
      <c r="I9" s="8" t="s">
        <v>33</v>
      </c>
    </row>
    <row r="10" customFormat="false" ht="36" hidden="false" customHeight="true" outlineLevel="0" collapsed="false">
      <c r="A10" s="11" t="s">
        <v>513</v>
      </c>
      <c r="B10" s="51" t="s">
        <v>36</v>
      </c>
      <c r="C10" s="9" t="s">
        <v>29</v>
      </c>
      <c r="D10" s="11" t="s">
        <v>514</v>
      </c>
      <c r="E10" s="12" t="s">
        <v>38</v>
      </c>
      <c r="F10" s="11" t="s">
        <v>515</v>
      </c>
      <c r="G10" s="11" t="s">
        <v>516</v>
      </c>
      <c r="H10" s="11" t="s">
        <v>606</v>
      </c>
      <c r="I10" s="8" t="s">
        <v>33</v>
      </c>
    </row>
    <row r="11" customFormat="false" ht="48.75" hidden="false" customHeight="true" outlineLevel="0" collapsed="false">
      <c r="A11" s="4" t="s">
        <v>517</v>
      </c>
      <c r="B11" s="50" t="s">
        <v>41</v>
      </c>
      <c r="C11" s="2" t="s">
        <v>29</v>
      </c>
      <c r="D11" s="4" t="s">
        <v>518</v>
      </c>
      <c r="E11" s="5" t="s">
        <v>43</v>
      </c>
      <c r="F11" s="4" t="s">
        <v>519</v>
      </c>
      <c r="G11" s="4" t="s">
        <v>520</v>
      </c>
      <c r="H11" s="4" t="s">
        <v>606</v>
      </c>
      <c r="I11" s="8" t="s">
        <v>33</v>
      </c>
    </row>
    <row r="12" customFormat="false" ht="30" hidden="false" customHeight="true" outlineLevel="0" collapsed="false">
      <c r="A12" s="11" t="s">
        <v>521</v>
      </c>
      <c r="B12" s="51" t="s">
        <v>46</v>
      </c>
      <c r="C12" s="9" t="s">
        <v>48</v>
      </c>
      <c r="D12" s="11" t="s">
        <v>522</v>
      </c>
      <c r="E12" s="12" t="s">
        <v>50</v>
      </c>
      <c r="F12" s="11" t="s">
        <v>523</v>
      </c>
      <c r="G12" s="11" t="s">
        <v>524</v>
      </c>
      <c r="H12" s="11" t="s">
        <v>607</v>
      </c>
      <c r="I12" s="15" t="s">
        <v>51</v>
      </c>
    </row>
    <row r="13" customFormat="false" ht="30" hidden="false" customHeight="true" outlineLevel="0" collapsed="false">
      <c r="A13" s="52" t="s">
        <v>525</v>
      </c>
      <c r="B13" s="50" t="s">
        <v>52</v>
      </c>
      <c r="C13" s="2" t="s">
        <v>29</v>
      </c>
      <c r="D13" s="4" t="s">
        <v>526</v>
      </c>
      <c r="E13" s="5" t="s">
        <v>54</v>
      </c>
      <c r="F13" s="4" t="s">
        <v>527</v>
      </c>
      <c r="G13" s="4" t="s">
        <v>528</v>
      </c>
      <c r="H13" s="4" t="s">
        <v>607</v>
      </c>
      <c r="I13" s="15" t="s">
        <v>51</v>
      </c>
    </row>
    <row r="14" customFormat="false" ht="30" hidden="false" customHeight="true" outlineLevel="0" collapsed="false">
      <c r="A14" s="11" t="s">
        <v>529</v>
      </c>
      <c r="B14" s="51" t="s">
        <v>58</v>
      </c>
      <c r="C14" s="9" t="s">
        <v>48</v>
      </c>
      <c r="D14" s="11" t="s">
        <v>530</v>
      </c>
      <c r="E14" s="12" t="s">
        <v>60</v>
      </c>
      <c r="F14" s="11" t="s">
        <v>531</v>
      </c>
      <c r="G14" s="11" t="s">
        <v>532</v>
      </c>
      <c r="H14" s="11" t="s">
        <v>607</v>
      </c>
      <c r="I14" s="15" t="s">
        <v>51</v>
      </c>
    </row>
    <row r="15" customFormat="false" ht="19.5" hidden="false" customHeight="true" outlineLevel="0" collapsed="false">
      <c r="A15" s="53" t="s">
        <v>608</v>
      </c>
      <c r="B15" s="53"/>
      <c r="C15" s="53"/>
      <c r="D15" s="53"/>
      <c r="E15" s="53"/>
      <c r="F15" s="53"/>
      <c r="G15" s="53"/>
      <c r="H15" s="53"/>
      <c r="I15" s="53"/>
    </row>
    <row r="16" customFormat="false" ht="27.75" hidden="false" customHeight="true" outlineLevel="0" collapsed="false">
      <c r="A16" s="1" t="s">
        <v>283</v>
      </c>
      <c r="B16" s="1" t="s">
        <v>0</v>
      </c>
      <c r="C16" s="1" t="s">
        <v>461</v>
      </c>
      <c r="D16" s="1" t="s">
        <v>6</v>
      </c>
      <c r="E16" s="1" t="s">
        <v>602</v>
      </c>
      <c r="F16" s="1" t="s">
        <v>603</v>
      </c>
      <c r="G16" s="1" t="s">
        <v>604</v>
      </c>
      <c r="H16" s="1" t="s">
        <v>605</v>
      </c>
      <c r="I16" s="1" t="s">
        <v>21</v>
      </c>
    </row>
    <row r="17" customFormat="false" ht="30" hidden="false" customHeight="true" outlineLevel="0" collapsed="false">
      <c r="A17" s="4" t="s">
        <v>533</v>
      </c>
      <c r="B17" s="50" t="s">
        <v>61</v>
      </c>
      <c r="C17" s="2" t="s">
        <v>48</v>
      </c>
      <c r="D17" s="4" t="s">
        <v>522</v>
      </c>
      <c r="E17" s="5" t="s">
        <v>63</v>
      </c>
      <c r="F17" s="4" t="s">
        <v>523</v>
      </c>
      <c r="G17" s="4" t="s">
        <v>524</v>
      </c>
      <c r="H17" s="4" t="s">
        <v>607</v>
      </c>
      <c r="I17" s="15" t="s">
        <v>51</v>
      </c>
    </row>
    <row r="18" customFormat="false" ht="48.75" hidden="false" customHeight="true" outlineLevel="0" collapsed="false">
      <c r="A18" s="11" t="s">
        <v>534</v>
      </c>
      <c r="B18" s="51" t="s">
        <v>64</v>
      </c>
      <c r="C18" s="9" t="s">
        <v>29</v>
      </c>
      <c r="D18" s="11" t="s">
        <v>535</v>
      </c>
      <c r="E18" s="12" t="s">
        <v>66</v>
      </c>
      <c r="F18" s="11" t="s">
        <v>536</v>
      </c>
      <c r="G18" s="11" t="s">
        <v>537</v>
      </c>
      <c r="H18" s="11" t="s">
        <v>606</v>
      </c>
      <c r="I18" s="8" t="s">
        <v>33</v>
      </c>
    </row>
    <row r="19" customFormat="false" ht="30" hidden="false" customHeight="true" outlineLevel="0" collapsed="false">
      <c r="A19" s="33" t="s">
        <v>538</v>
      </c>
      <c r="B19" s="50" t="s">
        <v>69</v>
      </c>
      <c r="C19" s="2" t="s">
        <v>29</v>
      </c>
      <c r="D19" s="4" t="s">
        <v>526</v>
      </c>
      <c r="E19" s="5" t="s">
        <v>63</v>
      </c>
      <c r="F19" s="4" t="s">
        <v>539</v>
      </c>
      <c r="G19" s="4" t="s">
        <v>532</v>
      </c>
      <c r="H19" s="4" t="s">
        <v>607</v>
      </c>
      <c r="I19" s="15" t="s">
        <v>51</v>
      </c>
    </row>
    <row r="20" customFormat="false" ht="48.75" hidden="false" customHeight="true" outlineLevel="0" collapsed="false">
      <c r="A20" s="11" t="s">
        <v>540</v>
      </c>
      <c r="B20" s="51" t="s">
        <v>71</v>
      </c>
      <c r="C20" s="9" t="s">
        <v>29</v>
      </c>
      <c r="D20" s="11" t="s">
        <v>518</v>
      </c>
      <c r="E20" s="12" t="s">
        <v>73</v>
      </c>
      <c r="F20" s="11" t="s">
        <v>541</v>
      </c>
      <c r="G20" s="11" t="s">
        <v>542</v>
      </c>
      <c r="H20" s="11" t="s">
        <v>607</v>
      </c>
      <c r="I20" s="15" t="s">
        <v>51</v>
      </c>
    </row>
    <row r="21" customFormat="false" ht="36" hidden="false" customHeight="true" outlineLevel="0" collapsed="false">
      <c r="A21" s="4" t="s">
        <v>543</v>
      </c>
      <c r="B21" s="50" t="s">
        <v>76</v>
      </c>
      <c r="C21" s="2" t="s">
        <v>48</v>
      </c>
      <c r="D21" s="4" t="s">
        <v>544</v>
      </c>
      <c r="E21" s="5" t="s">
        <v>78</v>
      </c>
      <c r="F21" s="4" t="s">
        <v>545</v>
      </c>
      <c r="G21" s="4" t="s">
        <v>546</v>
      </c>
      <c r="H21" s="4" t="s">
        <v>607</v>
      </c>
      <c r="I21" s="15" t="s">
        <v>51</v>
      </c>
    </row>
    <row r="22" customFormat="false" ht="30" hidden="false" customHeight="true" outlineLevel="0" collapsed="false">
      <c r="A22" s="11" t="s">
        <v>547</v>
      </c>
      <c r="B22" s="51" t="s">
        <v>79</v>
      </c>
      <c r="C22" s="9" t="s">
        <v>48</v>
      </c>
      <c r="D22" s="11" t="s">
        <v>530</v>
      </c>
      <c r="E22" s="12" t="s">
        <v>63</v>
      </c>
      <c r="F22" s="11" t="s">
        <v>531</v>
      </c>
      <c r="G22" s="11" t="s">
        <v>532</v>
      </c>
      <c r="H22" s="11" t="s">
        <v>607</v>
      </c>
      <c r="I22" s="15" t="s">
        <v>51</v>
      </c>
    </row>
    <row r="23" customFormat="false" ht="48.75" hidden="false" customHeight="true" outlineLevel="0" collapsed="false">
      <c r="A23" s="4" t="s">
        <v>548</v>
      </c>
      <c r="B23" s="50" t="s">
        <v>81</v>
      </c>
      <c r="C23" s="2" t="s">
        <v>48</v>
      </c>
      <c r="D23" s="4" t="s">
        <v>510</v>
      </c>
      <c r="E23" s="5" t="s">
        <v>83</v>
      </c>
      <c r="F23" s="4" t="s">
        <v>549</v>
      </c>
      <c r="G23" s="4" t="s">
        <v>550</v>
      </c>
      <c r="H23" s="4" t="s">
        <v>606</v>
      </c>
      <c r="I23" s="8" t="s">
        <v>33</v>
      </c>
    </row>
    <row r="24" customFormat="false" ht="19.5" hidden="false" customHeight="true" outlineLevel="0" collapsed="false">
      <c r="A24" s="54" t="s">
        <v>609</v>
      </c>
      <c r="B24" s="54"/>
      <c r="C24" s="54"/>
      <c r="D24" s="54"/>
      <c r="E24" s="54"/>
      <c r="F24" s="54"/>
      <c r="G24" s="54"/>
      <c r="H24" s="54"/>
      <c r="I24" s="54"/>
    </row>
    <row r="25" customFormat="false" ht="27.75" hidden="false" customHeight="true" outlineLevel="0" collapsed="false">
      <c r="A25" s="1" t="s">
        <v>283</v>
      </c>
      <c r="B25" s="1" t="s">
        <v>0</v>
      </c>
      <c r="C25" s="1" t="s">
        <v>461</v>
      </c>
      <c r="D25" s="1" t="s">
        <v>6</v>
      </c>
      <c r="E25" s="1" t="s">
        <v>602</v>
      </c>
      <c r="F25" s="1" t="s">
        <v>603</v>
      </c>
      <c r="G25" s="1" t="s">
        <v>604</v>
      </c>
      <c r="H25" s="1" t="s">
        <v>605</v>
      </c>
      <c r="I25" s="1" t="s">
        <v>21</v>
      </c>
    </row>
    <row r="26" customFormat="false" ht="48.75" hidden="false" customHeight="true" outlineLevel="0" collapsed="false">
      <c r="A26" s="55" t="s">
        <v>551</v>
      </c>
      <c r="B26" s="51" t="s">
        <v>85</v>
      </c>
      <c r="C26" s="9" t="s">
        <v>29</v>
      </c>
      <c r="D26" s="11" t="s">
        <v>552</v>
      </c>
      <c r="E26" s="12" t="s">
        <v>87</v>
      </c>
      <c r="F26" s="11" t="s">
        <v>553</v>
      </c>
      <c r="G26" s="11" t="s">
        <v>554</v>
      </c>
      <c r="H26" s="11" t="s">
        <v>606</v>
      </c>
      <c r="I26" s="8" t="s">
        <v>33</v>
      </c>
    </row>
    <row r="27" customFormat="false" ht="48.75" hidden="false" customHeight="true" outlineLevel="0" collapsed="false">
      <c r="A27" s="4" t="s">
        <v>555</v>
      </c>
      <c r="B27" s="50" t="s">
        <v>89</v>
      </c>
      <c r="C27" s="2" t="s">
        <v>48</v>
      </c>
      <c r="D27" s="4" t="s">
        <v>556</v>
      </c>
      <c r="E27" s="5" t="s">
        <v>91</v>
      </c>
      <c r="F27" s="4" t="s">
        <v>557</v>
      </c>
      <c r="G27" s="4" t="s">
        <v>558</v>
      </c>
      <c r="H27" s="4" t="s">
        <v>606</v>
      </c>
      <c r="I27" s="8" t="s">
        <v>33</v>
      </c>
    </row>
    <row r="28" customFormat="false" ht="48.75" hidden="false" customHeight="true" outlineLevel="0" collapsed="false">
      <c r="A28" s="11" t="s">
        <v>559</v>
      </c>
      <c r="B28" s="51" t="s">
        <v>94</v>
      </c>
      <c r="C28" s="9" t="s">
        <v>29</v>
      </c>
      <c r="D28" s="11" t="s">
        <v>560</v>
      </c>
      <c r="E28" s="12" t="s">
        <v>96</v>
      </c>
      <c r="F28" s="11" t="s">
        <v>561</v>
      </c>
      <c r="G28" s="11" t="s">
        <v>562</v>
      </c>
      <c r="H28" s="11" t="s">
        <v>606</v>
      </c>
      <c r="I28" s="8" t="s">
        <v>33</v>
      </c>
    </row>
    <row r="29" customFormat="false" ht="19.5" hidden="false" customHeight="true" outlineLevel="0" collapsed="false">
      <c r="A29" s="54" t="s">
        <v>610</v>
      </c>
      <c r="B29" s="54"/>
      <c r="C29" s="54"/>
      <c r="D29" s="54"/>
      <c r="E29" s="54"/>
      <c r="F29" s="54"/>
      <c r="G29" s="54"/>
      <c r="H29" s="54"/>
      <c r="I29" s="54"/>
    </row>
    <row r="30" customFormat="false" ht="27.75" hidden="false" customHeight="true" outlineLevel="0" collapsed="false">
      <c r="A30" s="1" t="s">
        <v>283</v>
      </c>
      <c r="B30" s="1" t="s">
        <v>0</v>
      </c>
      <c r="C30" s="1" t="s">
        <v>461</v>
      </c>
      <c r="D30" s="1" t="s">
        <v>6</v>
      </c>
      <c r="E30" s="1" t="s">
        <v>602</v>
      </c>
      <c r="F30" s="1" t="s">
        <v>603</v>
      </c>
      <c r="G30" s="1" t="s">
        <v>604</v>
      </c>
      <c r="H30" s="1" t="s">
        <v>605</v>
      </c>
      <c r="I30" s="1" t="s">
        <v>21</v>
      </c>
    </row>
    <row r="31" customFormat="false" ht="61.5" hidden="false" customHeight="true" outlineLevel="0" collapsed="false">
      <c r="A31" s="4" t="s">
        <v>563</v>
      </c>
      <c r="B31" s="50" t="s">
        <v>99</v>
      </c>
      <c r="C31" s="2" t="s">
        <v>48</v>
      </c>
      <c r="D31" s="4" t="s">
        <v>564</v>
      </c>
      <c r="E31" s="5" t="s">
        <v>101</v>
      </c>
      <c r="F31" s="4" t="s">
        <v>565</v>
      </c>
      <c r="G31" s="4" t="s">
        <v>566</v>
      </c>
      <c r="H31" s="4" t="s">
        <v>611</v>
      </c>
      <c r="I31" s="16" t="s">
        <v>103</v>
      </c>
    </row>
    <row r="32" customFormat="false" ht="19.5" hidden="false" customHeight="true" outlineLevel="0" collapsed="false">
      <c r="A32" s="54" t="s">
        <v>612</v>
      </c>
      <c r="B32" s="54"/>
      <c r="C32" s="54"/>
      <c r="D32" s="54"/>
      <c r="E32" s="54"/>
      <c r="F32" s="54"/>
      <c r="G32" s="54"/>
      <c r="H32" s="54"/>
      <c r="I32" s="54"/>
    </row>
    <row r="33" customFormat="false" ht="27.75" hidden="false" customHeight="true" outlineLevel="0" collapsed="false">
      <c r="A33" s="1" t="s">
        <v>283</v>
      </c>
      <c r="B33" s="1" t="s">
        <v>0</v>
      </c>
      <c r="C33" s="1" t="s">
        <v>461</v>
      </c>
      <c r="D33" s="1" t="s">
        <v>6</v>
      </c>
      <c r="E33" s="1" t="s">
        <v>602</v>
      </c>
      <c r="F33" s="1" t="s">
        <v>603</v>
      </c>
      <c r="G33" s="1" t="s">
        <v>604</v>
      </c>
      <c r="H33" s="1" t="s">
        <v>605</v>
      </c>
      <c r="I33" s="1" t="s">
        <v>21</v>
      </c>
    </row>
    <row r="34" customFormat="false" ht="61.5" hidden="false" customHeight="true" outlineLevel="0" collapsed="false">
      <c r="A34" s="11" t="s">
        <v>567</v>
      </c>
      <c r="B34" s="51" t="s">
        <v>105</v>
      </c>
      <c r="C34" s="9" t="s">
        <v>29</v>
      </c>
      <c r="D34" s="11" t="s">
        <v>568</v>
      </c>
      <c r="E34" s="12" t="s">
        <v>107</v>
      </c>
      <c r="F34" s="11" t="s">
        <v>569</v>
      </c>
      <c r="G34" s="11" t="s">
        <v>570</v>
      </c>
      <c r="H34" s="11" t="s">
        <v>607</v>
      </c>
      <c r="I34" s="15" t="s">
        <v>51</v>
      </c>
    </row>
    <row r="35" customFormat="false" ht="61.5" hidden="false" customHeight="true" outlineLevel="0" collapsed="false">
      <c r="A35" s="4" t="s">
        <v>571</v>
      </c>
      <c r="B35" s="50" t="s">
        <v>110</v>
      </c>
      <c r="C35" s="2" t="s">
        <v>48</v>
      </c>
      <c r="D35" s="4" t="s">
        <v>572</v>
      </c>
      <c r="E35" s="5" t="s">
        <v>111</v>
      </c>
      <c r="F35" s="4" t="s">
        <v>573</v>
      </c>
      <c r="G35" s="4" t="s">
        <v>574</v>
      </c>
      <c r="H35" s="4" t="s">
        <v>611</v>
      </c>
      <c r="I35" s="16" t="s">
        <v>103</v>
      </c>
    </row>
    <row r="36" customFormat="false" ht="48.75" hidden="false" customHeight="true" outlineLevel="0" collapsed="false">
      <c r="A36" s="11" t="s">
        <v>575</v>
      </c>
      <c r="B36" s="51" t="s">
        <v>114</v>
      </c>
      <c r="C36" s="9" t="s">
        <v>29</v>
      </c>
      <c r="D36" s="11" t="s">
        <v>514</v>
      </c>
      <c r="E36" s="12" t="s">
        <v>116</v>
      </c>
      <c r="F36" s="11" t="s">
        <v>576</v>
      </c>
      <c r="G36" s="11" t="s">
        <v>577</v>
      </c>
      <c r="H36" s="11" t="s">
        <v>607</v>
      </c>
      <c r="I36" s="15" t="s">
        <v>51</v>
      </c>
    </row>
    <row r="37" customFormat="false" ht="19.5" hidden="false" customHeight="true" outlineLevel="0" collapsed="false">
      <c r="A37" s="54" t="s">
        <v>613</v>
      </c>
      <c r="B37" s="54"/>
      <c r="C37" s="54"/>
      <c r="D37" s="54"/>
      <c r="E37" s="54"/>
      <c r="F37" s="54"/>
      <c r="G37" s="54"/>
      <c r="H37" s="54"/>
      <c r="I37" s="54"/>
    </row>
    <row r="38" customFormat="false" ht="27.75" hidden="false" customHeight="true" outlineLevel="0" collapsed="false">
      <c r="A38" s="1" t="s">
        <v>283</v>
      </c>
      <c r="B38" s="1" t="s">
        <v>0</v>
      </c>
      <c r="C38" s="1" t="s">
        <v>461</v>
      </c>
      <c r="D38" s="1" t="s">
        <v>6</v>
      </c>
      <c r="E38" s="1" t="s">
        <v>602</v>
      </c>
      <c r="F38" s="1" t="s">
        <v>603</v>
      </c>
      <c r="G38" s="1" t="s">
        <v>604</v>
      </c>
      <c r="H38" s="1" t="s">
        <v>605</v>
      </c>
      <c r="I38" s="1" t="s">
        <v>21</v>
      </c>
    </row>
    <row r="39" customFormat="false" ht="30" hidden="false" customHeight="true" outlineLevel="0" collapsed="false">
      <c r="A39" s="4" t="s">
        <v>578</v>
      </c>
      <c r="B39" s="50" t="s">
        <v>117</v>
      </c>
      <c r="C39" s="2" t="s">
        <v>119</v>
      </c>
      <c r="D39" s="4" t="s">
        <v>579</v>
      </c>
      <c r="E39" s="5" t="s">
        <v>121</v>
      </c>
      <c r="F39" s="4" t="s">
        <v>580</v>
      </c>
      <c r="G39" s="4" t="s">
        <v>581</v>
      </c>
      <c r="H39" s="4" t="s">
        <v>611</v>
      </c>
      <c r="I39" s="16" t="s">
        <v>103</v>
      </c>
    </row>
    <row r="40" customFormat="false" ht="19.5" hidden="false" customHeight="true" outlineLevel="0" collapsed="false">
      <c r="A40" s="54" t="s">
        <v>614</v>
      </c>
      <c r="B40" s="54"/>
      <c r="C40" s="54"/>
      <c r="D40" s="54"/>
      <c r="E40" s="54"/>
      <c r="F40" s="54"/>
      <c r="G40" s="54"/>
      <c r="H40" s="54"/>
      <c r="I40" s="54"/>
    </row>
    <row r="41" customFormat="false" ht="27.75" hidden="false" customHeight="true" outlineLevel="0" collapsed="false">
      <c r="A41" s="56" t="s">
        <v>283</v>
      </c>
      <c r="B41" s="1" t="s">
        <v>0</v>
      </c>
      <c r="C41" s="1" t="s">
        <v>461</v>
      </c>
      <c r="D41" s="1" t="s">
        <v>6</v>
      </c>
      <c r="E41" s="1" t="s">
        <v>602</v>
      </c>
      <c r="F41" s="1" t="s">
        <v>603</v>
      </c>
      <c r="G41" s="1" t="s">
        <v>604</v>
      </c>
      <c r="H41" s="1" t="s">
        <v>605</v>
      </c>
      <c r="I41" s="1" t="s">
        <v>21</v>
      </c>
    </row>
    <row r="42" customFormat="false" ht="30" hidden="false" customHeight="true" outlineLevel="0" collapsed="false">
      <c r="A42" s="57" t="s">
        <v>582</v>
      </c>
      <c r="B42" s="51" t="s">
        <v>124</v>
      </c>
      <c r="C42" s="9" t="s">
        <v>29</v>
      </c>
      <c r="D42" s="11" t="s">
        <v>583</v>
      </c>
      <c r="E42" s="12" t="s">
        <v>63</v>
      </c>
      <c r="F42" s="11" t="s">
        <v>583</v>
      </c>
      <c r="G42" s="11" t="s">
        <v>583</v>
      </c>
      <c r="H42" s="11" t="s">
        <v>607</v>
      </c>
      <c r="I42" s="15" t="s">
        <v>51</v>
      </c>
    </row>
    <row r="43" customFormat="false" ht="19.5" hidden="false" customHeight="true" outlineLevel="0" collapsed="false">
      <c r="A43" s="54" t="s">
        <v>615</v>
      </c>
      <c r="B43" s="54"/>
      <c r="C43" s="54"/>
      <c r="D43" s="54"/>
      <c r="E43" s="54"/>
      <c r="F43" s="54"/>
      <c r="G43" s="54"/>
      <c r="H43" s="54"/>
      <c r="I43" s="54"/>
    </row>
    <row r="44" customFormat="false" ht="27.75" hidden="false" customHeight="true" outlineLevel="0" collapsed="false">
      <c r="A44" s="1" t="s">
        <v>283</v>
      </c>
      <c r="B44" s="1" t="s">
        <v>0</v>
      </c>
      <c r="C44" s="1" t="s">
        <v>461</v>
      </c>
      <c r="D44" s="1" t="s">
        <v>6</v>
      </c>
      <c r="E44" s="1" t="s">
        <v>602</v>
      </c>
      <c r="F44" s="1" t="s">
        <v>603</v>
      </c>
      <c r="G44" s="1" t="s">
        <v>604</v>
      </c>
      <c r="H44" s="1" t="s">
        <v>605</v>
      </c>
      <c r="I44" s="1" t="s">
        <v>21</v>
      </c>
    </row>
    <row r="45" customFormat="false" ht="48.75" hidden="false" customHeight="true" outlineLevel="0" collapsed="false">
      <c r="A45" s="58" t="s">
        <v>584</v>
      </c>
      <c r="B45" s="50" t="s">
        <v>128</v>
      </c>
      <c r="C45" s="2" t="s">
        <v>29</v>
      </c>
      <c r="D45" s="4" t="s">
        <v>535</v>
      </c>
      <c r="E45" s="5" t="s">
        <v>129</v>
      </c>
      <c r="F45" s="4" t="s">
        <v>536</v>
      </c>
      <c r="G45" s="4" t="s">
        <v>537</v>
      </c>
      <c r="H45" s="4" t="s">
        <v>606</v>
      </c>
      <c r="I45" s="8" t="s">
        <v>33</v>
      </c>
    </row>
    <row r="46" customFormat="false" ht="30" hidden="false" customHeight="true" outlineLevel="0" collapsed="false">
      <c r="A46" s="57" t="s">
        <v>584</v>
      </c>
      <c r="B46" s="51" t="s">
        <v>71</v>
      </c>
      <c r="C46" s="9" t="s">
        <v>29</v>
      </c>
      <c r="D46" s="11" t="s">
        <v>518</v>
      </c>
      <c r="E46" s="12" t="s">
        <v>132</v>
      </c>
      <c r="F46" s="11" t="s">
        <v>541</v>
      </c>
      <c r="G46" s="11" t="s">
        <v>542</v>
      </c>
      <c r="H46" s="11" t="s">
        <v>607</v>
      </c>
      <c r="I46" s="15" t="s">
        <v>51</v>
      </c>
    </row>
    <row r="47" customFormat="false" ht="19.5" hidden="false" customHeight="true" outlineLevel="0" collapsed="false">
      <c r="A47" s="54" t="s">
        <v>616</v>
      </c>
      <c r="B47" s="54"/>
      <c r="C47" s="54"/>
      <c r="D47" s="54"/>
      <c r="E47" s="54"/>
      <c r="F47" s="54"/>
      <c r="G47" s="54"/>
      <c r="H47" s="54"/>
      <c r="I47" s="54"/>
    </row>
    <row r="48" customFormat="false" ht="27.75" hidden="false" customHeight="true" outlineLevel="0" collapsed="false">
      <c r="A48" s="1" t="s">
        <v>283</v>
      </c>
      <c r="B48" s="1" t="s">
        <v>0</v>
      </c>
      <c r="C48" s="1" t="s">
        <v>461</v>
      </c>
      <c r="D48" s="1" t="s">
        <v>6</v>
      </c>
      <c r="E48" s="1" t="s">
        <v>602</v>
      </c>
      <c r="F48" s="1" t="s">
        <v>603</v>
      </c>
      <c r="G48" s="1" t="s">
        <v>604</v>
      </c>
      <c r="H48" s="1" t="s">
        <v>605</v>
      </c>
      <c r="I48" s="1" t="s">
        <v>21</v>
      </c>
    </row>
    <row r="49" customFormat="false" ht="30" hidden="false" customHeight="true" outlineLevel="0" collapsed="false">
      <c r="A49" s="52" t="s">
        <v>585</v>
      </c>
      <c r="B49" s="50" t="s">
        <v>94</v>
      </c>
      <c r="C49" s="2" t="s">
        <v>29</v>
      </c>
      <c r="D49" s="4" t="s">
        <v>560</v>
      </c>
      <c r="E49" s="5" t="s">
        <v>135</v>
      </c>
      <c r="F49" s="4" t="s">
        <v>561</v>
      </c>
      <c r="G49" s="4" t="s">
        <v>562</v>
      </c>
      <c r="H49" s="4" t="s">
        <v>606</v>
      </c>
      <c r="I49" s="8" t="s">
        <v>33</v>
      </c>
    </row>
    <row r="50" customFormat="false" ht="36" hidden="false" customHeight="true" outlineLevel="0" collapsed="false">
      <c r="A50" s="11" t="s">
        <v>586</v>
      </c>
      <c r="B50" s="51" t="s">
        <v>138</v>
      </c>
      <c r="C50" s="9" t="s">
        <v>140</v>
      </c>
      <c r="D50" s="11" t="s">
        <v>587</v>
      </c>
      <c r="E50" s="12" t="s">
        <v>142</v>
      </c>
      <c r="F50" s="11" t="s">
        <v>588</v>
      </c>
      <c r="G50" s="11" t="s">
        <v>589</v>
      </c>
      <c r="H50" s="11" t="s">
        <v>611</v>
      </c>
      <c r="I50" s="16" t="s">
        <v>103</v>
      </c>
    </row>
    <row r="51" customFormat="false" ht="48.75" hidden="false" customHeight="true" outlineLevel="0" collapsed="false">
      <c r="A51" s="52" t="s">
        <v>585</v>
      </c>
      <c r="B51" s="50" t="s">
        <v>89</v>
      </c>
      <c r="C51" s="2" t="s">
        <v>48</v>
      </c>
      <c r="D51" s="4" t="s">
        <v>556</v>
      </c>
      <c r="E51" s="5" t="s">
        <v>146</v>
      </c>
      <c r="F51" s="4" t="s">
        <v>557</v>
      </c>
      <c r="G51" s="4" t="s">
        <v>558</v>
      </c>
      <c r="H51" s="4" t="s">
        <v>606</v>
      </c>
      <c r="I51" s="8" t="s">
        <v>33</v>
      </c>
    </row>
    <row r="52" customFormat="false" ht="19.5" hidden="false" customHeight="true" outlineLevel="0" collapsed="false">
      <c r="A52" s="53" t="s">
        <v>617</v>
      </c>
      <c r="B52" s="53"/>
      <c r="C52" s="53"/>
      <c r="D52" s="53"/>
      <c r="E52" s="53"/>
      <c r="F52" s="53"/>
      <c r="G52" s="53"/>
      <c r="H52" s="53"/>
      <c r="I52" s="53"/>
    </row>
    <row r="53" customFormat="false" ht="27.75" hidden="false" customHeight="true" outlineLevel="0" collapsed="false">
      <c r="A53" s="1" t="s">
        <v>283</v>
      </c>
      <c r="B53" s="1" t="s">
        <v>0</v>
      </c>
      <c r="C53" s="1" t="s">
        <v>461</v>
      </c>
      <c r="D53" s="1" t="s">
        <v>6</v>
      </c>
      <c r="E53" s="1" t="s">
        <v>602</v>
      </c>
      <c r="F53" s="1" t="s">
        <v>603</v>
      </c>
      <c r="G53" s="1" t="s">
        <v>604</v>
      </c>
      <c r="H53" s="1" t="s">
        <v>605</v>
      </c>
      <c r="I53" s="1" t="s">
        <v>21</v>
      </c>
    </row>
    <row r="54" customFormat="false" ht="30" hidden="false" customHeight="true" outlineLevel="0" collapsed="false">
      <c r="A54" s="57" t="s">
        <v>590</v>
      </c>
      <c r="B54" s="51" t="s">
        <v>99</v>
      </c>
      <c r="C54" s="9" t="s">
        <v>48</v>
      </c>
      <c r="D54" s="11" t="s">
        <v>564</v>
      </c>
      <c r="E54" s="12" t="s">
        <v>147</v>
      </c>
      <c r="F54" s="11" t="s">
        <v>565</v>
      </c>
      <c r="G54" s="11" t="s">
        <v>566</v>
      </c>
      <c r="H54" s="11" t="s">
        <v>611</v>
      </c>
      <c r="I54" s="16" t="s">
        <v>103</v>
      </c>
    </row>
    <row r="55" customFormat="false" ht="15" hidden="false" customHeight="false" outlineLevel="0" collapsed="false">
      <c r="A55" s="59"/>
    </row>
    <row r="56" customFormat="false" ht="27.75" hidden="false" customHeight="true" outlineLevel="0" collapsed="false">
      <c r="A56" s="60" t="s">
        <v>618</v>
      </c>
      <c r="B56" s="60"/>
      <c r="C56" s="60"/>
      <c r="D56" s="60"/>
      <c r="E56" s="60"/>
      <c r="F56" s="60"/>
      <c r="G56" s="60"/>
      <c r="H56" s="60"/>
      <c r="I56" s="60"/>
    </row>
    <row r="57" customFormat="false" ht="16.5" hidden="false" customHeight="true" outlineLevel="0" collapsed="false">
      <c r="A57" s="59"/>
    </row>
    <row r="58" customFormat="false" ht="16.5" hidden="false" customHeight="true" outlineLevel="0" collapsed="false">
      <c r="A58" s="59"/>
    </row>
    <row r="59" customFormat="false" ht="16.5" hidden="false" customHeight="true" outlineLevel="0" collapsed="false">
      <c r="A59" s="59"/>
    </row>
    <row r="60" customFormat="false" ht="16.5" hidden="false" customHeight="true" outlineLevel="0" collapsed="false">
      <c r="A60" s="59"/>
    </row>
    <row r="61" customFormat="false" ht="15" hidden="false" customHeight="false" outlineLevel="0" collapsed="false">
      <c r="A61" s="43"/>
    </row>
    <row r="62" customFormat="false" ht="16.5" hidden="false" customHeight="true" outlineLevel="0" collapsed="false">
      <c r="A62" s="43"/>
    </row>
    <row r="63" customFormat="false" ht="15" hidden="false" customHeight="false" outlineLevel="0" collapsed="false">
      <c r="A63" s="59"/>
    </row>
    <row r="64" customFormat="false" ht="16.5" hidden="false" customHeight="true" outlineLevel="0" collapsed="false">
      <c r="A64" s="59"/>
    </row>
    <row r="65" customFormat="false" ht="16.5" hidden="false" customHeight="true" outlineLevel="0" collapsed="false">
      <c r="A65" s="59"/>
    </row>
    <row r="66" customFormat="false" ht="16.5" hidden="false" customHeight="true" outlineLevel="0" collapsed="false">
      <c r="A66" s="59"/>
    </row>
    <row r="67" customFormat="false" ht="16.5" hidden="false" customHeight="true" outlineLevel="0" collapsed="false">
      <c r="A67" s="59"/>
    </row>
    <row r="68" customFormat="false" ht="15" hidden="false" customHeight="false" outlineLevel="0" collapsed="false">
      <c r="A68" s="43"/>
    </row>
    <row r="69" customFormat="false" ht="15" hidden="false" customHeight="false" outlineLevel="0" collapsed="false">
      <c r="A69" s="61"/>
    </row>
    <row r="70" customFormat="false" ht="15" hidden="false" customHeight="false" outlineLevel="0" collapsed="false">
      <c r="A70" s="43"/>
    </row>
    <row r="71" customFormat="false" ht="21" hidden="false" customHeight="true" outlineLevel="0" collapsed="false">
      <c r="A71" s="62"/>
    </row>
    <row r="72" customFormat="false" ht="15" hidden="false" customHeight="false" outlineLevel="0" collapsed="false">
      <c r="A72" s="43"/>
    </row>
    <row r="73" customFormat="false" ht="16.5" hidden="false" customHeight="true" outlineLevel="0" collapsed="false">
      <c r="A73" s="43"/>
    </row>
    <row r="74" customFormat="false" ht="15" hidden="false" customHeight="false" outlineLevel="0" collapsed="false">
      <c r="A74" s="59"/>
    </row>
    <row r="75" customFormat="false" ht="16.5" hidden="false" customHeight="true" outlineLevel="0" collapsed="false">
      <c r="A75" s="59"/>
    </row>
    <row r="76" customFormat="false" ht="16.5" hidden="false" customHeight="true" outlineLevel="0" collapsed="false">
      <c r="A76" s="59"/>
    </row>
    <row r="77" customFormat="false" ht="16.5" hidden="false" customHeight="true" outlineLevel="0" collapsed="false">
      <c r="A77" s="59"/>
    </row>
    <row r="78" customFormat="false" ht="16.5" hidden="false" customHeight="true" outlineLevel="0" collapsed="false">
      <c r="A78" s="59"/>
    </row>
    <row r="79" customFormat="false" ht="16.5" hidden="false" customHeight="true" outlineLevel="0" collapsed="false">
      <c r="A79" s="59"/>
    </row>
    <row r="80" customFormat="false" ht="15" hidden="false" customHeight="false" outlineLevel="0" collapsed="false">
      <c r="A80" s="43"/>
    </row>
    <row r="81" customFormat="false" ht="16.5" hidden="false" customHeight="true" outlineLevel="0" collapsed="false">
      <c r="A81" s="43"/>
    </row>
    <row r="82" customFormat="false" ht="15" hidden="false" customHeight="false" outlineLevel="0" collapsed="false">
      <c r="A82" s="59"/>
    </row>
    <row r="83" customFormat="false" ht="16.5" hidden="false" customHeight="true" outlineLevel="0" collapsed="false">
      <c r="A83" s="59"/>
    </row>
    <row r="84" customFormat="false" ht="16.5" hidden="false" customHeight="true" outlineLevel="0" collapsed="false">
      <c r="A84" s="59"/>
    </row>
    <row r="85" customFormat="false" ht="16.5" hidden="false" customHeight="true" outlineLevel="0" collapsed="false">
      <c r="A85" s="59"/>
    </row>
    <row r="86" customFormat="false" ht="16.5" hidden="false" customHeight="true" outlineLevel="0" collapsed="false">
      <c r="A86" s="59"/>
    </row>
    <row r="87" customFormat="false" ht="16.5" hidden="false" customHeight="true" outlineLevel="0" collapsed="false">
      <c r="A87" s="59"/>
    </row>
    <row r="88" customFormat="false" ht="15" hidden="false" customHeight="false" outlineLevel="0" collapsed="false">
      <c r="A88" s="43"/>
    </row>
    <row r="89" customFormat="false" ht="15" hidden="false" customHeight="false" outlineLevel="0" collapsed="false">
      <c r="A89" s="61"/>
    </row>
    <row r="90" customFormat="false" ht="15" hidden="false" customHeight="false" outlineLevel="0" collapsed="false">
      <c r="A90" s="43"/>
    </row>
    <row r="91" customFormat="false" ht="21" hidden="false" customHeight="true" outlineLevel="0" collapsed="false">
      <c r="A91" s="62"/>
    </row>
    <row r="92" customFormat="false" ht="15" hidden="false" customHeight="false" outlineLevel="0" collapsed="false">
      <c r="A92" s="43"/>
    </row>
    <row r="93" customFormat="false" ht="16.5" hidden="false" customHeight="true" outlineLevel="0" collapsed="false">
      <c r="A93" s="43"/>
    </row>
    <row r="94" customFormat="false" ht="15" hidden="false" customHeight="false" outlineLevel="0" collapsed="false">
      <c r="A94" s="59"/>
    </row>
    <row r="95" customFormat="false" ht="16.5" hidden="false" customHeight="true" outlineLevel="0" collapsed="false">
      <c r="A95" s="59"/>
    </row>
    <row r="96" customFormat="false" ht="16.5" hidden="false" customHeight="true" outlineLevel="0" collapsed="false">
      <c r="A96" s="59"/>
    </row>
    <row r="97" customFormat="false" ht="16.5" hidden="false" customHeight="true" outlineLevel="0" collapsed="false">
      <c r="A97" s="59"/>
    </row>
    <row r="98" customFormat="false" ht="15" hidden="false" customHeight="false" outlineLevel="0" collapsed="false">
      <c r="A98" s="63"/>
    </row>
    <row r="99" customFormat="false" ht="15" hidden="false" customHeight="false" outlineLevel="0" collapsed="false">
      <c r="A99" s="43"/>
    </row>
    <row r="100" customFormat="false" ht="15" hidden="false" customHeight="false" outlineLevel="0" collapsed="false">
      <c r="A100" s="61"/>
    </row>
    <row r="101" customFormat="false" ht="15" hidden="false" customHeight="false" outlineLevel="0" collapsed="false">
      <c r="A101" s="43"/>
    </row>
    <row r="102" customFormat="false" ht="21" hidden="false" customHeight="true" outlineLevel="0" collapsed="false">
      <c r="A102" s="62"/>
    </row>
    <row r="103" customFormat="false" ht="15" hidden="false" customHeight="false" outlineLevel="0" collapsed="false">
      <c r="A103" s="43"/>
    </row>
    <row r="104" customFormat="false" ht="16.5" hidden="false" customHeight="true" outlineLevel="0" collapsed="false">
      <c r="A104" s="43"/>
    </row>
    <row r="105" customFormat="false" ht="15" hidden="false" customHeight="false" outlineLevel="0" collapsed="false">
      <c r="A105" s="59"/>
    </row>
    <row r="106" customFormat="false" ht="16.5" hidden="false" customHeight="true" outlineLevel="0" collapsed="false">
      <c r="A106" s="59"/>
    </row>
    <row r="107" customFormat="false" ht="16.5" hidden="false" customHeight="true" outlineLevel="0" collapsed="false">
      <c r="A107" s="59"/>
    </row>
    <row r="108" customFormat="false" ht="16.5" hidden="false" customHeight="true" outlineLevel="0" collapsed="false">
      <c r="A108" s="59"/>
    </row>
    <row r="109" customFormat="false" ht="15" hidden="false" customHeight="false" outlineLevel="0" collapsed="false">
      <c r="A109" s="63"/>
    </row>
    <row r="110" customFormat="false" ht="15" hidden="false" customHeight="false" outlineLevel="0" collapsed="false">
      <c r="A110" s="43"/>
    </row>
    <row r="111" customFormat="false" ht="15" hidden="false" customHeight="false" outlineLevel="0" collapsed="false">
      <c r="A111" s="61"/>
    </row>
    <row r="112" customFormat="false" ht="15" hidden="false" customHeight="false" outlineLevel="0" collapsed="false">
      <c r="A112" s="43"/>
    </row>
    <row r="113" customFormat="false" ht="21" hidden="false" customHeight="true" outlineLevel="0" collapsed="false">
      <c r="A113" s="62"/>
    </row>
    <row r="114" customFormat="false" ht="15" hidden="false" customHeight="false" outlineLevel="0" collapsed="false">
      <c r="A114" s="43"/>
    </row>
    <row r="115" customFormat="false" ht="16.5" hidden="false" customHeight="true" outlineLevel="0" collapsed="false">
      <c r="A115" s="43"/>
    </row>
    <row r="116" customFormat="false" ht="15" hidden="false" customHeight="false" outlineLevel="0" collapsed="false">
      <c r="A116" s="59"/>
    </row>
    <row r="117" customFormat="false" ht="16.5" hidden="false" customHeight="true" outlineLevel="0" collapsed="false">
      <c r="A117" s="59"/>
    </row>
    <row r="118" customFormat="false" ht="16.5" hidden="false" customHeight="true" outlineLevel="0" collapsed="false">
      <c r="A118" s="59"/>
    </row>
    <row r="119" customFormat="false" ht="16.5" hidden="false" customHeight="true" outlineLevel="0" collapsed="false">
      <c r="A119" s="59"/>
    </row>
    <row r="120" customFormat="false" ht="16.5" hidden="false" customHeight="true" outlineLevel="0" collapsed="false">
      <c r="A120" s="59"/>
    </row>
    <row r="121" customFormat="false" ht="15" hidden="false" customHeight="false" outlineLevel="0" collapsed="false">
      <c r="A121" s="43"/>
    </row>
    <row r="122" customFormat="false" ht="15" hidden="false" customHeight="false" outlineLevel="0" collapsed="false">
      <c r="A122" s="61"/>
    </row>
    <row r="123" customFormat="false" ht="15" hidden="false" customHeight="false" outlineLevel="0" collapsed="false">
      <c r="A123" s="43"/>
    </row>
    <row r="124" customFormat="false" ht="21" hidden="false" customHeight="true" outlineLevel="0" collapsed="false">
      <c r="A124" s="62"/>
    </row>
    <row r="125" customFormat="false" ht="15" hidden="false" customHeight="false" outlineLevel="0" collapsed="false">
      <c r="A125" s="43"/>
    </row>
    <row r="126" customFormat="false" ht="16.5" hidden="false" customHeight="true" outlineLevel="0" collapsed="false">
      <c r="A126" s="43"/>
    </row>
    <row r="127" customFormat="false" ht="15" hidden="false" customHeight="false" outlineLevel="0" collapsed="false">
      <c r="A127" s="59"/>
    </row>
    <row r="128" customFormat="false" ht="16.5" hidden="false" customHeight="true" outlineLevel="0" collapsed="false">
      <c r="A128" s="59"/>
    </row>
    <row r="129" customFormat="false" ht="16.5" hidden="false" customHeight="true" outlineLevel="0" collapsed="false">
      <c r="A129" s="59"/>
    </row>
    <row r="130" customFormat="false" ht="16.5" hidden="false" customHeight="true" outlineLevel="0" collapsed="false">
      <c r="A130" s="59"/>
    </row>
    <row r="131" customFormat="false" ht="16.5" hidden="false" customHeight="true" outlineLevel="0" collapsed="false">
      <c r="A131" s="59"/>
    </row>
    <row r="132" customFormat="false" ht="15" hidden="false" customHeight="false" outlineLevel="0" collapsed="false">
      <c r="A132" s="43"/>
    </row>
    <row r="133" customFormat="false" ht="16.5" hidden="false" customHeight="true" outlineLevel="0" collapsed="false">
      <c r="A133" s="43"/>
    </row>
    <row r="134" customFormat="false" ht="15" hidden="false" customHeight="false" outlineLevel="0" collapsed="false">
      <c r="A134" s="59"/>
    </row>
    <row r="135" customFormat="false" ht="16.5" hidden="false" customHeight="true" outlineLevel="0" collapsed="false">
      <c r="A135" s="59"/>
    </row>
    <row r="136" customFormat="false" ht="16.5" hidden="false" customHeight="true" outlineLevel="0" collapsed="false">
      <c r="A136" s="59"/>
    </row>
    <row r="137" customFormat="false" ht="16.5" hidden="false" customHeight="true" outlineLevel="0" collapsed="false">
      <c r="A137" s="59"/>
    </row>
    <row r="138" customFormat="false" ht="16.5" hidden="false" customHeight="true" outlineLevel="0" collapsed="false">
      <c r="A138" s="59"/>
    </row>
    <row r="139" customFormat="false" ht="15" hidden="false" customHeight="false" outlineLevel="0" collapsed="false">
      <c r="A139" s="43"/>
    </row>
    <row r="140" customFormat="false" ht="16.5" hidden="false" customHeight="true" outlineLevel="0" collapsed="false">
      <c r="A140" s="43"/>
    </row>
    <row r="141" customFormat="false" ht="15" hidden="false" customHeight="false" outlineLevel="0" collapsed="false">
      <c r="A141" s="59"/>
    </row>
    <row r="142" customFormat="false" ht="16.5" hidden="false" customHeight="true" outlineLevel="0" collapsed="false">
      <c r="A142" s="59"/>
    </row>
    <row r="143" customFormat="false" ht="16.5" hidden="false" customHeight="true" outlineLevel="0" collapsed="false">
      <c r="A143" s="59"/>
    </row>
    <row r="144" customFormat="false" ht="16.5" hidden="false" customHeight="true" outlineLevel="0" collapsed="false">
      <c r="A144" s="59"/>
    </row>
    <row r="145" customFormat="false" ht="16.5" hidden="false" customHeight="true" outlineLevel="0" collapsed="false">
      <c r="A145" s="59"/>
    </row>
    <row r="146" customFormat="false" ht="16.5" hidden="false" customHeight="true" outlineLevel="0" collapsed="false">
      <c r="A146" s="59"/>
    </row>
  </sheetData>
  <mergeCells count="15">
    <mergeCell ref="A1:I1"/>
    <mergeCell ref="A2:I2"/>
    <mergeCell ref="A3:I3"/>
    <mergeCell ref="F5:I5"/>
    <mergeCell ref="A7:I7"/>
    <mergeCell ref="A15:I15"/>
    <mergeCell ref="A24:I24"/>
    <mergeCell ref="A29:I29"/>
    <mergeCell ref="A32:I32"/>
    <mergeCell ref="A37:I37"/>
    <mergeCell ref="A40:I40"/>
    <mergeCell ref="A43:I43"/>
    <mergeCell ref="A47:I47"/>
    <mergeCell ref="A52:I52"/>
    <mergeCell ref="A56:I56"/>
  </mergeCells>
  <printOptions headings="false" gridLines="false" gridLinesSet="true" horizontalCentered="false" verticalCentered="false"/>
  <pageMargins left="0.4" right="0.4" top="0.5" bottom="0.5" header="0.3" footer="0.3"/>
  <pageSetup paperSize="9" scale="100" fitToWidth="1" fitToHeight="0" pageOrder="downThenOver" orientation="landscape" blackAndWhite="false" draft="false" cellComments="none" horizontalDpi="300" verticalDpi="300" copies="1"/>
  <headerFooter differentFirst="false" differentOddEven="false">
    <oddHeader>&amp;C&amp;10 Millennium Lakeview Hotel — Event Demand ADR Calendar</oddHeader>
    <oddFooter>&amp;C&amp;8 Page &amp;P of &amp;N  |  Planning estimates — verify before committing inventory</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2026-09-12T12:25:12Z</dcterms:created>
  <dc:creator>openpyxl</dc:creator>
  <dc:description/>
  <dc:language>en-US</dc:language>
  <cp:lastModifiedBy>Galal Emad-Millennium Lakeview Hotel - Revenue Manager</cp:lastModifiedBy>
  <dcterms:modified xsi:type="dcterms:W3CDTF">2026-09-12T14:07:12Z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